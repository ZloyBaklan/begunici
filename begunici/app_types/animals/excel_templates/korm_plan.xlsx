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5D77D028-0A9F-4800-A53D-A7A9A564B5B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кормовой план июнь" sheetId="8" r:id="rId1"/>
  </sheets>
  <calcPr calcId="191029"/>
</workbook>
</file>

<file path=xl/calcChain.xml><?xml version="1.0" encoding="utf-8"?>
<calcChain xmlns="http://schemas.openxmlformats.org/spreadsheetml/2006/main">
  <c r="J11" i="8" l="1"/>
  <c r="J12" i="8"/>
  <c r="J13" i="8"/>
  <c r="J14" i="8"/>
  <c r="J15" i="8"/>
  <c r="J10" i="8"/>
  <c r="L15" i="8"/>
  <c r="L11" i="8"/>
  <c r="L12" i="8"/>
  <c r="L13" i="8"/>
  <c r="L14" i="8"/>
  <c r="L10" i="8"/>
  <c r="N11" i="8"/>
  <c r="N12" i="8"/>
  <c r="N13" i="8"/>
  <c r="N14" i="8"/>
  <c r="N15" i="8"/>
  <c r="N10" i="8"/>
  <c r="P11" i="8"/>
  <c r="P12" i="8"/>
  <c r="P13" i="8"/>
  <c r="P14" i="8"/>
  <c r="P15" i="8"/>
  <c r="P10" i="8"/>
  <c r="R13" i="8"/>
  <c r="R14" i="8"/>
  <c r="R12" i="8"/>
  <c r="R11" i="8"/>
  <c r="R10" i="8"/>
  <c r="R15" i="8"/>
  <c r="F10" i="8"/>
  <c r="D10" i="8"/>
  <c r="B18" i="8" l="1"/>
  <c r="F15" i="8"/>
  <c r="D15" i="8"/>
  <c r="F14" i="8"/>
  <c r="D14" i="8"/>
  <c r="F13" i="8"/>
  <c r="D13" i="8"/>
  <c r="F12" i="8"/>
  <c r="D12" i="8"/>
  <c r="F11" i="8"/>
  <c r="D11" i="8"/>
  <c r="L18" i="8" l="1"/>
  <c r="F18" i="8"/>
  <c r="N18" i="8"/>
  <c r="D18" i="8"/>
  <c r="P18" i="8"/>
  <c r="J18" i="8"/>
  <c r="R18" i="8"/>
</calcChain>
</file>

<file path=xl/sharedStrings.xml><?xml version="1.0" encoding="utf-8"?>
<sst xmlns="http://schemas.openxmlformats.org/spreadsheetml/2006/main" count="52" uniqueCount="30">
  <si>
    <t xml:space="preserve">Кормовой план </t>
  </si>
  <si>
    <t>Географическая площадка</t>
  </si>
  <si>
    <t>Подразделение</t>
  </si>
  <si>
    <t xml:space="preserve">             к. ед.,кг                                               </t>
  </si>
  <si>
    <t>Поголовье, гол.</t>
  </si>
  <si>
    <t>дней  в месяце</t>
  </si>
  <si>
    <t>Кормодней в месяце</t>
  </si>
  <si>
    <t>сено</t>
  </si>
  <si>
    <t>комбикорм</t>
  </si>
  <si>
    <t>овес фуражный</t>
  </si>
  <si>
    <t>соль глыба</t>
  </si>
  <si>
    <t>премикс овец и ягнят</t>
  </si>
  <si>
    <t>Группа животных</t>
  </si>
  <si>
    <t>на 1 гол/день</t>
  </si>
  <si>
    <t>всего на поголовье в мес.</t>
  </si>
  <si>
    <t>на1 гол/гр</t>
  </si>
  <si>
    <t>план*</t>
  </si>
  <si>
    <t>план</t>
  </si>
  <si>
    <t>кг.</t>
  </si>
  <si>
    <t>сенаж</t>
  </si>
  <si>
    <t>2026 г.</t>
  </si>
  <si>
    <t>Баранчики и ярки питомник ( от 3 до 6 мес)</t>
  </si>
  <si>
    <t>Баран- производитель</t>
  </si>
  <si>
    <t>Овцематки ярки ремонтные ( осемененные)</t>
  </si>
  <si>
    <t>Овцематки с ягнятами</t>
  </si>
  <si>
    <t>Баранчики, ярки   ремонтные (7-12 мес)</t>
  </si>
  <si>
    <t>Приплод бараны и ярки ( до 3 мес)</t>
  </si>
  <si>
    <t>Итого на месяц</t>
  </si>
  <si>
    <t>Пастбищная трава</t>
  </si>
  <si>
    <t xml:space="preserve">     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</si>
</sst>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.00_р_._-;\-* #,##0.00_р_._-;_-* &quot;-&quot;??_р_._-;_-@_-"/>
    <numFmt numFmtId="166" formatCode="0.0000000"/>
    <numFmt numFmtId="167" formatCode="#,##0.00_ ;[Red]\-#,##0.00;\-"/>
    <numFmt numFmtId="168" formatCode="_-* #,##0&quot; Sk&quot;_-;\-* #,##0&quot; Sk&quot;_-;_-* &quot;- Sk&quot;_-;_-@_-"/>
    <numFmt numFmtId="169" formatCode="#,##0.00;&quot;-&quot;#,##0.00"/>
    <numFmt numFmtId="170" formatCode="mmm"/>
    <numFmt numFmtId="171" formatCode="#,##0.00;[Red]&quot;-&quot;#,##0.00"/>
    <numFmt numFmtId="172" formatCode="#,##0.0000_);\(#,##0.0000\)"/>
    <numFmt numFmtId="173" formatCode="0.000_)"/>
    <numFmt numFmtId="174" formatCode="_ * #,##0_ ;_ * \-#,##0_ ;_ * \-_ ;_ @_ "/>
    <numFmt numFmtId="175" formatCode="_ * #,##0.00_ ;_ * \-#,##0.00_ ;_ * \-??_ ;_ @_ "/>
    <numFmt numFmtId="176" formatCode="_ &quot;Kиs  &quot;* #,##0_ ;_ &quot;Kиs  &quot;* \-#,##0_ ;_ &quot;Kиs  &quot;* \-_ ;_ @_ "/>
    <numFmt numFmtId="177" formatCode="_ &quot;Kиs  &quot;* #,##0.00_ ;_ &quot;Kиs  &quot;* \-#,##0.00_ ;_ &quot;Kиs  &quot;* \-??_ ;_ @_ "/>
    <numFmt numFmtId="178" formatCode="_-* #,##0.00\ &quot;€&quot;_-;\-* #,##0.00\ &quot;€&quot;_-;_-* &quot;-&quot;??\ &quot;€&quot;_-;_-@_-"/>
    <numFmt numFmtId="179" formatCode="_(* #,##0_);_(* \(#,##0\);_(* &quot;-&quot;_);_(@_)"/>
    <numFmt numFmtId="180" formatCode="_(* #,##0.00_);_(* \(#,##0.00\);_(* &quot;-&quot;??_);_(@_)"/>
    <numFmt numFmtId="181" formatCode="dd\.mm\.yyyy"/>
    <numFmt numFmtId="182" formatCode="[Red]\-0%"/>
    <numFmt numFmtId="183" formatCode="_-* #,##0.00\ _S_k_-;\-* #,##0.00\ _S_k_-;_-* \-??\ _S_k_-;_-@_-"/>
    <numFmt numFmtId="184" formatCode="_-* #,##0.00_ö_S_-;\-* #,##0.00_ö_S_-;_-* &quot;-&quot;??_ö_S_-;_-@_-"/>
    <numFmt numFmtId="185" formatCode="#,##0.0;[Red]\-#,##0.0"/>
    <numFmt numFmtId="186" formatCode="_-* #,##0.00&quot; Sk&quot;_-;\-* #,##0.00&quot; Sk&quot;_-;_-* \-??&quot; Sk&quot;_-;_-@_-"/>
    <numFmt numFmtId="187" formatCode="_-* #,##0&quot; Kи&quot;_-;\-* #,##0&quot; Kи&quot;_-;_-* &quot;- Kи&quot;_-;_-@_-"/>
    <numFmt numFmtId="188" formatCode="#,##0.0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_-&quot;£&quot;* #,##0_-;\-&quot;£&quot;* #,##0_-;_-&quot;£&quot;* &quot;-&quot;_-;_-@_-"/>
    <numFmt numFmtId="192" formatCode="_-&quot;£&quot;* #,##0.00_-;\-&quot;£&quot;* #,##0.00_-;_-&quot;£&quot;* &quot;-&quot;??_-;_-@_-"/>
    <numFmt numFmtId="193" formatCode="_-* #,##0\ _S_k_-;\-* #,##0\ _S_k_-;_-* &quot;- &quot;_S_k_-;_-@_-"/>
    <numFmt numFmtId="194" formatCode="_-* #,##0\ _р_._-;\-* #,##0\ _р_._-;_-* &quot;-&quot;\ _р_._-;_-@_-"/>
    <numFmt numFmtId="195" formatCode="_-* #,##0.00\ _р_._-;\-* #,##0.00\ _р_._-;_-* &quot;-&quot;??\ _р_._-;_-@_-"/>
    <numFmt numFmtId="196" formatCode="#,##0.000"/>
  </numFmts>
  <fonts count="8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8"/>
      <name val="PragmaticaTT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  <charset val="204"/>
    </font>
    <font>
      <b/>
      <i/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0"/>
      <name val="Helv"/>
    </font>
    <font>
      <sz val="10"/>
      <name val="Helv"/>
      <charset val="238"/>
    </font>
    <font>
      <sz val="10"/>
      <name val="Arial Cyr"/>
      <charset val="204"/>
    </font>
    <font>
      <sz val="10"/>
      <name val="Arial"/>
      <family val="2"/>
      <charset val="177"/>
    </font>
    <font>
      <sz val="10"/>
      <name val="Arial Cyr"/>
      <family val="2"/>
      <charset val="204"/>
    </font>
    <font>
      <sz val="12"/>
      <name val="¹ÙÅÁÃ¼"/>
      <family val="1"/>
      <charset val="129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0"/>
      <name val="Wide Latin"/>
      <family val="1"/>
    </font>
    <font>
      <i/>
      <sz val="10"/>
      <name val="Wide Latin"/>
      <family val="1"/>
    </font>
    <font>
      <u/>
      <sz val="10"/>
      <color indexed="36"/>
      <name val="Arial"/>
      <family val="2"/>
      <charset val="204"/>
    </font>
    <font>
      <sz val="12"/>
      <name val="Tms Rmn"/>
    </font>
    <font>
      <b/>
      <sz val="10"/>
      <name val="MS Sans Serif"/>
      <family val="2"/>
      <charset val="204"/>
    </font>
    <font>
      <sz val="12"/>
      <name val="±¼¸²Ã¼"/>
      <family val="3"/>
      <charset val="129"/>
    </font>
    <font>
      <sz val="12"/>
      <name val="Arial MT"/>
    </font>
    <font>
      <sz val="11"/>
      <name val="Tms Rmn"/>
    </font>
    <font>
      <sz val="10"/>
      <name val="Times New Roman"/>
      <family val="1"/>
      <charset val="204"/>
    </font>
    <font>
      <sz val="10"/>
      <color indexed="8"/>
      <name val="Arial Cyr"/>
      <family val="2"/>
    </font>
    <font>
      <sz val="12"/>
      <name val="Times New Roman"/>
      <family val="1"/>
    </font>
    <font>
      <b/>
      <sz val="12"/>
      <name val="Arial"/>
      <family val="2"/>
    </font>
    <font>
      <sz val="10"/>
      <name val="Geneva"/>
      <family val="2"/>
    </font>
    <font>
      <sz val="7"/>
      <name val="Small Fonts"/>
      <family val="2"/>
      <charset val="204"/>
    </font>
    <font>
      <sz val="10"/>
      <name val="PragmaticaTT"/>
    </font>
    <font>
      <sz val="8"/>
      <name val="Helv"/>
      <charset val="204"/>
    </font>
    <font>
      <sz val="10"/>
      <name val="Arial CE"/>
      <charset val="238"/>
    </font>
    <font>
      <sz val="10"/>
      <name val="Arial CE"/>
      <family val="2"/>
    </font>
    <font>
      <sz val="8"/>
      <name val="Helv"/>
    </font>
    <font>
      <b/>
      <sz val="10"/>
      <color indexed="8"/>
      <name val="Arial"/>
      <family val="2"/>
    </font>
    <font>
      <b/>
      <sz val="10"/>
      <color indexed="14"/>
      <name val="Arial"/>
      <family val="2"/>
    </font>
    <font>
      <sz val="8"/>
      <color indexed="23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9"/>
      <color indexed="23"/>
      <name val="Arial"/>
      <family val="2"/>
    </font>
    <font>
      <b/>
      <sz val="12"/>
      <color indexed="8"/>
      <name val="Arial"/>
      <family val="2"/>
      <charset val="204"/>
    </font>
    <font>
      <b/>
      <sz val="8"/>
      <color indexed="8"/>
      <name val="Arial"/>
      <family val="2"/>
    </font>
    <font>
      <i/>
      <sz val="14"/>
      <name val="Arial"/>
      <family val="2"/>
    </font>
    <font>
      <sz val="12"/>
      <name val="Arial"/>
      <family val="2"/>
    </font>
    <font>
      <sz val="10"/>
      <color indexed="3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i/>
      <sz val="19"/>
      <color indexed="48"/>
      <name val="Arial"/>
      <family val="2"/>
    </font>
    <font>
      <sz val="10"/>
      <color indexed="10"/>
      <name val="Arial"/>
      <family val="2"/>
    </font>
    <font>
      <sz val="10"/>
      <name val="Times New Roman"/>
      <family val="1"/>
    </font>
    <font>
      <sz val="8"/>
      <color indexed="10"/>
      <name val="Arial Narrow"/>
      <family val="2"/>
    </font>
    <font>
      <sz val="10"/>
      <name val="MS Sans Serif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1"/>
      <color indexed="1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indexed="8"/>
      <name val="Arial Cyr"/>
      <family val="2"/>
      <charset val="204"/>
    </font>
    <font>
      <sz val="10"/>
      <name val="Arial Cy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8"/>
      <name val="Calibri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sz val="8"/>
      <color indexed="8"/>
      <name val="Calibri"/>
      <family val="2"/>
      <charset val="204"/>
    </font>
    <font>
      <b/>
      <sz val="8"/>
      <color indexed="8"/>
      <name val="Calibri"/>
      <family val="2"/>
      <charset val="204"/>
    </font>
  </fonts>
  <fills count="4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94">
    <xf numFmtId="0" fontId="0" fillId="0" borderId="0"/>
    <xf numFmtId="0" fontId="2" fillId="0" borderId="0"/>
    <xf numFmtId="0" fontId="3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0" fontId="6" fillId="0" borderId="8" applyFill="0">
      <alignment vertical="center" wrapText="1"/>
    </xf>
    <xf numFmtId="0" fontId="5" fillId="4" borderId="0"/>
    <xf numFmtId="0" fontId="5" fillId="4" borderId="0"/>
    <xf numFmtId="0" fontId="5" fillId="4" borderId="0"/>
    <xf numFmtId="0" fontId="7" fillId="4" borderId="0"/>
    <xf numFmtId="0" fontId="8" fillId="4" borderId="0"/>
    <xf numFmtId="0" fontId="9" fillId="4" borderId="0"/>
    <xf numFmtId="0" fontId="9" fillId="4" borderId="0"/>
    <xf numFmtId="0" fontId="10" fillId="4" borderId="0"/>
    <xf numFmtId="0" fontId="11" fillId="4" borderId="0"/>
    <xf numFmtId="0" fontId="3" fillId="4" borderId="0"/>
    <xf numFmtId="166" fontId="5" fillId="2" borderId="9"/>
    <xf numFmtId="167" fontId="12" fillId="2" borderId="9"/>
    <xf numFmtId="166" fontId="5" fillId="2" borderId="9"/>
    <xf numFmtId="166" fontId="5" fillId="2" borderId="9"/>
    <xf numFmtId="0" fontId="8" fillId="2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14" fillId="0" borderId="0"/>
    <xf numFmtId="0" fontId="5" fillId="4" borderId="0"/>
    <xf numFmtId="0" fontId="5" fillId="4" borderId="0"/>
    <xf numFmtId="0" fontId="5" fillId="4" borderId="0"/>
    <xf numFmtId="0" fontId="7" fillId="4" borderId="0"/>
    <xf numFmtId="0" fontId="8" fillId="4" borderId="0"/>
    <xf numFmtId="0" fontId="12" fillId="4" borderId="0"/>
    <xf numFmtId="0" fontId="10" fillId="4" borderId="0"/>
    <xf numFmtId="0" fontId="11" fillId="4" borderId="0"/>
    <xf numFmtId="0" fontId="3" fillId="4" borderId="0"/>
    <xf numFmtId="0" fontId="1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9" fontId="5" fillId="3" borderId="0"/>
    <xf numFmtId="0" fontId="16" fillId="0" borderId="0"/>
    <xf numFmtId="0" fontId="16" fillId="0" borderId="0"/>
    <xf numFmtId="0" fontId="17" fillId="0" borderId="0"/>
    <xf numFmtId="168" fontId="18" fillId="0" borderId="0" applyFill="0" applyBorder="0" applyAlignment="0" applyProtection="0"/>
    <xf numFmtId="9" fontId="19" fillId="0" borderId="0" applyFont="0" applyFill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0" borderId="0">
      <alignment vertical="center"/>
    </xf>
    <xf numFmtId="0" fontId="23" fillId="19" borderId="10">
      <alignment vertical="center"/>
    </xf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6" fillId="0" borderId="11" applyAlignment="0" applyProtection="0"/>
    <xf numFmtId="0" fontId="27" fillId="0" borderId="0"/>
    <xf numFmtId="0" fontId="4" fillId="0" borderId="1">
      <alignment horizont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3" fontId="29" fillId="0" borderId="0"/>
    <xf numFmtId="173" fontId="29" fillId="0" borderId="0"/>
    <xf numFmtId="174" fontId="18" fillId="0" borderId="0" applyFill="0" applyBorder="0" applyAlignment="0" applyProtection="0"/>
    <xf numFmtId="175" fontId="18" fillId="0" borderId="0" applyFill="0" applyBorder="0" applyAlignment="0" applyProtection="0"/>
    <xf numFmtId="176" fontId="18" fillId="0" borderId="0" applyFill="0" applyBorder="0" applyAlignment="0" applyProtection="0"/>
    <xf numFmtId="177" fontId="18" fillId="0" borderId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1" fillId="0" borderId="0" applyBorder="0" applyProtection="0"/>
    <xf numFmtId="0" fontId="32" fillId="0" borderId="0" applyNumberFormat="0" applyFill="0" applyBorder="0" applyAlignment="0" applyProtection="0"/>
    <xf numFmtId="38" fontId="2" fillId="0" borderId="0" applyNumberFormat="0" applyFill="0" applyBorder="0" applyProtection="0">
      <alignment wrapText="1"/>
    </xf>
    <xf numFmtId="38" fontId="3" fillId="4" borderId="0" applyNumberFormat="0" applyBorder="0" applyAlignment="0" applyProtection="0"/>
    <xf numFmtId="0" fontId="33" fillId="0" borderId="2" applyNumberFormat="0" applyAlignment="0" applyProtection="0">
      <alignment horizontal="left" vertical="center"/>
    </xf>
    <xf numFmtId="0" fontId="33" fillId="0" borderId="7">
      <alignment horizontal="left" vertical="center"/>
    </xf>
    <xf numFmtId="10" fontId="3" fillId="2" borderId="4" applyNumberFormat="0" applyBorder="0" applyAlignment="0" applyProtection="0"/>
    <xf numFmtId="0" fontId="34" fillId="19" borderId="12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38" fontId="34" fillId="0" borderId="0" applyFont="0" applyFill="0" applyBorder="0" applyAlignment="0" applyProtection="0"/>
    <xf numFmtId="183" fontId="18" fillId="0" borderId="0" applyFill="0" applyBorder="0" applyAlignment="0" applyProtection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18" fillId="0" borderId="0" applyFill="0" applyBorder="0" applyAlignment="0" applyProtection="0"/>
    <xf numFmtId="37" fontId="35" fillId="0" borderId="0"/>
    <xf numFmtId="187" fontId="12" fillId="0" borderId="0"/>
    <xf numFmtId="0" fontId="36" fillId="0" borderId="0"/>
    <xf numFmtId="0" fontId="37" fillId="0" borderId="0"/>
    <xf numFmtId="0" fontId="5" fillId="0" borderId="0"/>
    <xf numFmtId="0" fontId="15" fillId="0" borderId="0"/>
    <xf numFmtId="0" fontId="38" fillId="0" borderId="0"/>
    <xf numFmtId="0" fontId="14" fillId="0" borderId="0"/>
    <xf numFmtId="0" fontId="39" fillId="0" borderId="0"/>
    <xf numFmtId="10" fontId="5" fillId="0" borderId="0" applyFont="0" applyFill="0" applyBorder="0" applyAlignment="0" applyProtection="0"/>
    <xf numFmtId="0" fontId="40" fillId="0" borderId="0" applyNumberFormat="0">
      <alignment horizontal="left"/>
    </xf>
    <xf numFmtId="0" fontId="30" fillId="0" borderId="0" applyFont="0" applyFill="0" applyBorder="0" applyAlignment="0" applyProtection="0"/>
    <xf numFmtId="188" fontId="41" fillId="20" borderId="13" applyNumberFormat="0" applyProtection="0">
      <alignment vertical="center"/>
    </xf>
    <xf numFmtId="4" fontId="42" fillId="20" borderId="13" applyNumberFormat="0" applyProtection="0">
      <alignment vertical="center"/>
    </xf>
    <xf numFmtId="4" fontId="41" fillId="20" borderId="13" applyNumberFormat="0" applyProtection="0">
      <alignment horizontal="left" vertical="center" indent="1"/>
    </xf>
    <xf numFmtId="0" fontId="41" fillId="20" borderId="13" applyNumberFormat="0" applyProtection="0">
      <alignment horizontal="left" vertical="top" indent="1"/>
    </xf>
    <xf numFmtId="4" fontId="43" fillId="21" borderId="0" applyNumberFormat="0" applyProtection="0">
      <alignment horizontal="center" vertical="center" wrapText="1"/>
    </xf>
    <xf numFmtId="4" fontId="44" fillId="6" borderId="13" applyNumberFormat="0" applyProtection="0">
      <alignment horizontal="right" vertical="center"/>
    </xf>
    <xf numFmtId="4" fontId="44" fillId="12" borderId="13" applyNumberFormat="0" applyProtection="0">
      <alignment horizontal="right" vertical="center"/>
    </xf>
    <xf numFmtId="4" fontId="45" fillId="22" borderId="13" applyNumberFormat="0" applyProtection="0">
      <alignment horizontal="right" vertical="center"/>
    </xf>
    <xf numFmtId="4" fontId="44" fillId="14" borderId="13" applyNumberFormat="0" applyProtection="0">
      <alignment horizontal="right" vertical="center"/>
    </xf>
    <xf numFmtId="4" fontId="44" fillId="18" borderId="13" applyNumberFormat="0" applyProtection="0">
      <alignment horizontal="right" vertical="center"/>
    </xf>
    <xf numFmtId="4" fontId="44" fillId="23" borderId="13" applyNumberFormat="0" applyProtection="0">
      <alignment horizontal="right" vertical="center"/>
    </xf>
    <xf numFmtId="4" fontId="45" fillId="24" borderId="13" applyNumberFormat="0" applyProtection="0">
      <alignment horizontal="right" vertical="center"/>
    </xf>
    <xf numFmtId="4" fontId="44" fillId="25" borderId="13" applyNumberFormat="0" applyProtection="0">
      <alignment horizontal="right" vertical="center"/>
    </xf>
    <xf numFmtId="4" fontId="44" fillId="13" borderId="13" applyNumberFormat="0" applyProtection="0">
      <alignment horizontal="right" vertical="center"/>
    </xf>
    <xf numFmtId="4" fontId="46" fillId="26" borderId="14" applyNumberFormat="0" applyProtection="0">
      <alignment horizontal="left" vertical="center" indent="1"/>
    </xf>
    <xf numFmtId="4" fontId="44" fillId="27" borderId="0" applyNumberFormat="0" applyProtection="0">
      <alignment horizontal="left" vertical="center" indent="1"/>
    </xf>
    <xf numFmtId="4" fontId="47" fillId="28" borderId="0" applyNumberFormat="0" applyProtection="0">
      <alignment horizontal="left" vertical="center" indent="1"/>
    </xf>
    <xf numFmtId="4" fontId="44" fillId="29" borderId="13" applyNumberFormat="0" applyProtection="0">
      <alignment horizontal="right" vertical="center"/>
    </xf>
    <xf numFmtId="4" fontId="48" fillId="30" borderId="0" applyNumberFormat="0" applyProtection="0">
      <alignment horizontal="left" vertical="center" indent="1"/>
    </xf>
    <xf numFmtId="4" fontId="43" fillId="21" borderId="0" applyNumberFormat="0" applyProtection="0">
      <alignment horizontal="center" vertical="center"/>
    </xf>
    <xf numFmtId="0" fontId="49" fillId="28" borderId="13" applyNumberFormat="0" applyProtection="0">
      <alignment horizontal="left" vertical="center" indent="1"/>
    </xf>
    <xf numFmtId="0" fontId="5" fillId="28" borderId="13" applyNumberFormat="0" applyProtection="0">
      <alignment horizontal="left" vertical="top" indent="1"/>
    </xf>
    <xf numFmtId="0" fontId="50" fillId="21" borderId="13" applyNumberFormat="0" applyProtection="0">
      <alignment horizontal="left" vertical="center" indent="1"/>
    </xf>
    <xf numFmtId="0" fontId="5" fillId="21" borderId="13" applyNumberFormat="0" applyProtection="0">
      <alignment horizontal="left" vertical="top" indent="1"/>
    </xf>
    <xf numFmtId="0" fontId="5" fillId="31" borderId="13" applyNumberFormat="0" applyProtection="0">
      <alignment horizontal="left" vertical="center" indent="1"/>
    </xf>
    <xf numFmtId="0" fontId="5" fillId="31" borderId="13" applyNumberFormat="0" applyProtection="0">
      <alignment horizontal="left" vertical="top" indent="1"/>
    </xf>
    <xf numFmtId="0" fontId="5" fillId="30" borderId="13" applyNumberFormat="0" applyProtection="0">
      <alignment horizontal="left" vertical="center" indent="1"/>
    </xf>
    <xf numFmtId="0" fontId="5" fillId="30" borderId="13" applyNumberFormat="0" applyProtection="0">
      <alignment horizontal="left" vertical="top" indent="1"/>
    </xf>
    <xf numFmtId="4" fontId="44" fillId="2" borderId="13" applyNumberFormat="0" applyProtection="0">
      <alignment vertical="center"/>
    </xf>
    <xf numFmtId="4" fontId="51" fillId="2" borderId="13" applyNumberFormat="0" applyProtection="0">
      <alignment vertical="center"/>
    </xf>
    <xf numFmtId="4" fontId="44" fillId="2" borderId="13" applyNumberFormat="0" applyProtection="0">
      <alignment horizontal="left" vertical="center" indent="1"/>
    </xf>
    <xf numFmtId="0" fontId="44" fillId="2" borderId="13" applyNumberFormat="0" applyProtection="0">
      <alignment horizontal="left" vertical="top" indent="1"/>
    </xf>
    <xf numFmtId="3" fontId="52" fillId="32" borderId="13" applyProtection="0">
      <alignment horizontal="right" vertical="center"/>
    </xf>
    <xf numFmtId="4" fontId="51" fillId="27" borderId="13" applyNumberFormat="0" applyProtection="0">
      <alignment horizontal="right" vertical="center"/>
    </xf>
    <xf numFmtId="4" fontId="53" fillId="31" borderId="13" applyNumberFormat="0" applyProtection="0">
      <alignment vertical="center"/>
    </xf>
    <xf numFmtId="0" fontId="53" fillId="28" borderId="13" applyNumberFormat="0" applyProtection="0">
      <alignment horizontal="center" vertical="center" wrapText="1"/>
    </xf>
    <xf numFmtId="4" fontId="54" fillId="31" borderId="0" applyNumberFormat="0" applyProtection="0">
      <alignment horizontal="left" vertical="center" indent="1"/>
    </xf>
    <xf numFmtId="4" fontId="55" fillId="27" borderId="13" applyNumberFormat="0" applyProtection="0">
      <alignment horizontal="right" vertical="center"/>
    </xf>
    <xf numFmtId="0" fontId="34" fillId="0" borderId="0">
      <alignment vertical="center"/>
    </xf>
    <xf numFmtId="0" fontId="56" fillId="33" borderId="15">
      <alignment horizontal="left" vertical="center" wrapText="1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7" fillId="0" borderId="0">
      <alignment vertical="top"/>
    </xf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58" fillId="0" borderId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9" fillId="10" borderId="16" applyNumberFormat="0" applyAlignment="0" applyProtection="0"/>
    <xf numFmtId="0" fontId="59" fillId="10" borderId="16" applyNumberFormat="0" applyAlignment="0" applyProtection="0"/>
    <xf numFmtId="0" fontId="60" fillId="37" borderId="17" applyNumberFormat="0" applyAlignment="0" applyProtection="0"/>
    <xf numFmtId="0" fontId="60" fillId="37" borderId="17" applyNumberFormat="0" applyAlignment="0" applyProtection="0"/>
    <xf numFmtId="0" fontId="61" fillId="37" borderId="16" applyNumberFormat="0" applyAlignment="0" applyProtection="0"/>
    <xf numFmtId="0" fontId="61" fillId="37" borderId="16" applyNumberFormat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164" fontId="16" fillId="0" borderId="0" applyFont="0" applyFill="0" applyBorder="0" applyAlignment="0" applyProtection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64" fillId="0" borderId="19" applyNumberFormat="0" applyFill="0" applyAlignment="0" applyProtection="0"/>
    <xf numFmtId="0" fontId="64" fillId="0" borderId="19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93" fontId="18" fillId="0" borderId="0" applyFill="0" applyBorder="0" applyAlignment="0" applyProtection="0"/>
    <xf numFmtId="183" fontId="18" fillId="0" borderId="0" applyFill="0" applyBorder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7" fillId="38" borderId="22" applyNumberFormat="0" applyAlignment="0" applyProtection="0"/>
    <xf numFmtId="0" fontId="67" fillId="38" borderId="22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5" fillId="0" borderId="0"/>
    <xf numFmtId="0" fontId="70" fillId="0" borderId="0"/>
    <xf numFmtId="0" fontId="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71" fillId="0" borderId="0"/>
    <xf numFmtId="0" fontId="16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3" fillId="0" borderId="0"/>
    <xf numFmtId="0" fontId="7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8" fillId="0" borderId="0"/>
    <xf numFmtId="0" fontId="5" fillId="0" borderId="0"/>
    <xf numFmtId="0" fontId="20" fillId="0" borderId="0"/>
    <xf numFmtId="0" fontId="20" fillId="0" borderId="0"/>
    <xf numFmtId="0" fontId="5" fillId="0" borderId="0"/>
    <xf numFmtId="0" fontId="2" fillId="0" borderId="0">
      <alignment horizontal="left"/>
    </xf>
    <xf numFmtId="0" fontId="73" fillId="0" borderId="0"/>
    <xf numFmtId="0" fontId="20" fillId="0" borderId="0"/>
    <xf numFmtId="0" fontId="20" fillId="0" borderId="0"/>
    <xf numFmtId="0" fontId="74" fillId="6" borderId="0" applyNumberFormat="0" applyBorder="0" applyAlignment="0" applyProtection="0"/>
    <xf numFmtId="0" fontId="74" fillId="6" borderId="0" applyNumberFormat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0" fillId="40" borderId="23" applyNumberFormat="0" applyFont="0" applyAlignment="0" applyProtection="0"/>
    <xf numFmtId="0" fontId="20" fillId="40" borderId="23" applyNumberFormat="0" applyFont="0" applyAlignment="0" applyProtection="0"/>
    <xf numFmtId="0" fontId="76" fillId="40" borderId="23" applyNumberFormat="0" applyFont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7" fillId="0" borderId="24" applyNumberFormat="0" applyFill="0" applyAlignment="0" applyProtection="0"/>
    <xf numFmtId="0" fontId="77" fillId="0" borderId="24" applyNumberFormat="0" applyFill="0" applyAlignment="0" applyProtection="0"/>
    <xf numFmtId="0" fontId="13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94" fontId="73" fillId="0" borderId="0" applyFont="0" applyFill="0" applyBorder="0" applyAlignment="0" applyProtection="0"/>
    <xf numFmtId="195" fontId="7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9" fillId="7" borderId="0" applyNumberFormat="0" applyBorder="0" applyAlignment="0" applyProtection="0"/>
    <xf numFmtId="0" fontId="79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80" fillId="0" borderId="0" xfId="0" applyFont="1"/>
    <xf numFmtId="0" fontId="81" fillId="0" borderId="0" xfId="0" applyFont="1"/>
    <xf numFmtId="0" fontId="82" fillId="0" borderId="0" xfId="0" applyFont="1"/>
    <xf numFmtId="0" fontId="4" fillId="0" borderId="0" xfId="0" applyFont="1"/>
    <xf numFmtId="0" fontId="83" fillId="0" borderId="0" xfId="0" applyFont="1"/>
    <xf numFmtId="0" fontId="4" fillId="0" borderId="25" xfId="0" applyFont="1" applyBorder="1" applyAlignment="1">
      <alignment vertical="top" wrapText="1"/>
    </xf>
    <xf numFmtId="0" fontId="4" fillId="3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196" fontId="4" fillId="0" borderId="4" xfId="0" applyNumberFormat="1" applyFont="1" applyBorder="1" applyAlignment="1">
      <alignment horizontal="center"/>
    </xf>
    <xf numFmtId="0" fontId="4" fillId="41" borderId="4" xfId="0" applyFont="1" applyFill="1" applyBorder="1" applyAlignment="1">
      <alignment horizontal="left"/>
    </xf>
    <xf numFmtId="2" fontId="4" fillId="0" borderId="4" xfId="0" applyNumberFormat="1" applyFont="1" applyBorder="1" applyAlignment="1">
      <alignment horizontal="center"/>
    </xf>
    <xf numFmtId="188" fontId="4" fillId="0" borderId="4" xfId="0" applyNumberFormat="1" applyFont="1" applyBorder="1" applyAlignment="1">
      <alignment horizontal="center"/>
    </xf>
    <xf numFmtId="0" fontId="4" fillId="32" borderId="4" xfId="0" applyFont="1" applyFill="1" applyBorder="1" applyAlignment="1">
      <alignment horizontal="center"/>
    </xf>
    <xf numFmtId="0" fontId="4" fillId="32" borderId="26" xfId="0" applyFont="1" applyFill="1" applyBorder="1" applyAlignment="1">
      <alignment horizontal="center"/>
    </xf>
    <xf numFmtId="0" fontId="4" fillId="32" borderId="27" xfId="0" applyFont="1" applyFill="1" applyBorder="1" applyAlignment="1">
      <alignment horizontal="center"/>
    </xf>
    <xf numFmtId="0" fontId="4" fillId="32" borderId="5" xfId="0" applyFont="1" applyFill="1" applyBorder="1" applyAlignment="1">
      <alignment horizontal="center"/>
    </xf>
    <xf numFmtId="0" fontId="4" fillId="32" borderId="6" xfId="0" applyFont="1" applyFill="1" applyBorder="1" applyAlignment="1">
      <alignment horizontal="center"/>
    </xf>
    <xf numFmtId="0" fontId="4" fillId="32" borderId="11" xfId="0" applyFont="1" applyFill="1" applyBorder="1" applyAlignment="1">
      <alignment horizontal="center"/>
    </xf>
    <xf numFmtId="0" fontId="4" fillId="3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</cellXfs>
  <cellStyles count="394">
    <cellStyle name="_x0012_" xfId="5" xr:uid="{00000000-0005-0000-0000-000000000000}"/>
    <cellStyle name="????????" xfId="6" xr:uid="{00000000-0005-0000-0000-000001000000}"/>
    <cellStyle name="_Column1" xfId="7" xr:uid="{00000000-0005-0000-0000-000002000000}"/>
    <cellStyle name="_Column1_БДДС_БДР_2009_2008" xfId="8" xr:uid="{00000000-0005-0000-0000-000003000000}"/>
    <cellStyle name="_Column1_План продаж_2009" xfId="9" xr:uid="{00000000-0005-0000-0000-000004000000}"/>
    <cellStyle name="_Column2" xfId="10" xr:uid="{00000000-0005-0000-0000-000005000000}"/>
    <cellStyle name="_Column3" xfId="11" xr:uid="{00000000-0005-0000-0000-000006000000}"/>
    <cellStyle name="_Column4" xfId="12" xr:uid="{00000000-0005-0000-0000-000007000000}"/>
    <cellStyle name="_Column4_План продаж_2009" xfId="13" xr:uid="{00000000-0005-0000-0000-000008000000}"/>
    <cellStyle name="_Column5" xfId="14" xr:uid="{00000000-0005-0000-0000-000009000000}"/>
    <cellStyle name="_Column6" xfId="15" xr:uid="{00000000-0005-0000-0000-00000A000000}"/>
    <cellStyle name="_Column7" xfId="16" xr:uid="{00000000-0005-0000-0000-00000B000000}"/>
    <cellStyle name="_Data" xfId="17" xr:uid="{00000000-0005-0000-0000-00000C000000}"/>
    <cellStyle name="_Data_Narratives_AUS_1202" xfId="18" xr:uid="{00000000-0005-0000-0000-00000D000000}"/>
    <cellStyle name="_Data_БДДС_БДР_2009_2008" xfId="19" xr:uid="{00000000-0005-0000-0000-00000E000000}"/>
    <cellStyle name="_Data_План продаж_2009" xfId="20" xr:uid="{00000000-0005-0000-0000-00000F000000}"/>
    <cellStyle name="_Header" xfId="21" xr:uid="{00000000-0005-0000-0000-000010000000}"/>
    <cellStyle name="_PERSONAL" xfId="22" xr:uid="{00000000-0005-0000-0000-000011000000}"/>
    <cellStyle name="_PERSONAL_1" xfId="23" xr:uid="{00000000-0005-0000-0000-000012000000}"/>
    <cellStyle name="_PERSONAL_PERSONAL" xfId="24" xr:uid="{00000000-0005-0000-0000-000013000000}"/>
    <cellStyle name="_PERSONAL_PERSONAL_1" xfId="25" xr:uid="{00000000-0005-0000-0000-000014000000}"/>
    <cellStyle name="_PERSONAL_PERSONAL_2" xfId="26" xr:uid="{00000000-0005-0000-0000-000015000000}"/>
    <cellStyle name="_PERSONAL_PERSONAL_3" xfId="27" xr:uid="{00000000-0005-0000-0000-000016000000}"/>
    <cellStyle name="_PERSONAL_Procurement" xfId="28" xr:uid="{00000000-0005-0000-0000-000017000000}"/>
    <cellStyle name="_PERSONAL_Ural 27-06" xfId="29" xr:uid="{00000000-0005-0000-0000-000018000000}"/>
    <cellStyle name="_Procurement" xfId="30" xr:uid="{00000000-0005-0000-0000-000019000000}"/>
    <cellStyle name="_Row1" xfId="31" xr:uid="{00000000-0005-0000-0000-00001A000000}"/>
    <cellStyle name="_Row1_БДДС_БДР_2009_2008" xfId="32" xr:uid="{00000000-0005-0000-0000-00001B000000}"/>
    <cellStyle name="_Row1_План продаж_2009" xfId="33" xr:uid="{00000000-0005-0000-0000-00001C000000}"/>
    <cellStyle name="_Row2" xfId="34" xr:uid="{00000000-0005-0000-0000-00001D000000}"/>
    <cellStyle name="_Row3" xfId="35" xr:uid="{00000000-0005-0000-0000-00001E000000}"/>
    <cellStyle name="_Row4" xfId="36" xr:uid="{00000000-0005-0000-0000-00001F000000}"/>
    <cellStyle name="_Row5" xfId="37" xr:uid="{00000000-0005-0000-0000-000020000000}"/>
    <cellStyle name="_Row6" xfId="38" xr:uid="{00000000-0005-0000-0000-000021000000}"/>
    <cellStyle name="_Row7" xfId="39" xr:uid="{00000000-0005-0000-0000-000022000000}"/>
    <cellStyle name="_Ural 27-06" xfId="40" xr:uid="{00000000-0005-0000-0000-000023000000}"/>
    <cellStyle name="_x0012__БДДС_БДР_2009_2008" xfId="41" xr:uid="{00000000-0005-0000-0000-000024000000}"/>
    <cellStyle name="_Дозакл 5 мес.2000" xfId="42" xr:uid="{00000000-0005-0000-0000-000025000000}"/>
    <cellStyle name="_Кайзер  нормы расходы 2009 год cпа" xfId="43" xr:uid="{00000000-0005-0000-0000-000026000000}"/>
    <cellStyle name="_x0012__План продаж_2009" xfId="44" xr:uid="{00000000-0005-0000-0000-000027000000}"/>
    <cellStyle name="_СП нормы расходы 2009" xfId="45" xr:uid="{00000000-0005-0000-0000-000028000000}"/>
    <cellStyle name="=C:\WINDOWS\SYSTEM32\COMMAND.COM" xfId="46" xr:uid="{00000000-0005-0000-0000-000029000000}"/>
    <cellStyle name="0,0_x000d__x000a_NA_x000d__x000a_" xfId="47" xr:uid="{00000000-0005-0000-0000-00002A000000}"/>
    <cellStyle name="0,0_x000d__x000a_NA_x000d__x000a_ 2" xfId="48" xr:uid="{00000000-0005-0000-0000-00002B000000}"/>
    <cellStyle name="0,0_x000d__x000a_NA_x000d__x000a__Бюджетная заявка_форма" xfId="49" xr:uid="{00000000-0005-0000-0000-00002C000000}"/>
    <cellStyle name="1 000 Kи_laroux" xfId="50" xr:uid="{00000000-0005-0000-0000-00002D000000}"/>
    <cellStyle name="¹éºÐÀ²_±âÅ¸" xfId="51" xr:uid="{00000000-0005-0000-0000-00002E000000}"/>
    <cellStyle name="20% - Акцент1 2" xfId="52" xr:uid="{00000000-0005-0000-0000-00002F000000}"/>
    <cellStyle name="20% - Акцент1 2 2" xfId="53" xr:uid="{00000000-0005-0000-0000-000030000000}"/>
    <cellStyle name="20% - Акцент1 3" xfId="54" xr:uid="{00000000-0005-0000-0000-000031000000}"/>
    <cellStyle name="20% - Акцент1 3 2" xfId="55" xr:uid="{00000000-0005-0000-0000-000032000000}"/>
    <cellStyle name="20% - Акцент2 2" xfId="56" xr:uid="{00000000-0005-0000-0000-000033000000}"/>
    <cellStyle name="20% - Акцент2 2 2" xfId="57" xr:uid="{00000000-0005-0000-0000-000034000000}"/>
    <cellStyle name="20% - Акцент2 3" xfId="58" xr:uid="{00000000-0005-0000-0000-000035000000}"/>
    <cellStyle name="20% - Акцент2 3 2" xfId="59" xr:uid="{00000000-0005-0000-0000-000036000000}"/>
    <cellStyle name="20% - Акцент3 2" xfId="60" xr:uid="{00000000-0005-0000-0000-000037000000}"/>
    <cellStyle name="20% - Акцент3 2 2" xfId="61" xr:uid="{00000000-0005-0000-0000-000038000000}"/>
    <cellStyle name="20% - Акцент3 3" xfId="62" xr:uid="{00000000-0005-0000-0000-000039000000}"/>
    <cellStyle name="20% - Акцент3 3 2" xfId="63" xr:uid="{00000000-0005-0000-0000-00003A000000}"/>
    <cellStyle name="20% - Акцент4 2" xfId="64" xr:uid="{00000000-0005-0000-0000-00003B000000}"/>
    <cellStyle name="20% - Акцент4 2 2" xfId="65" xr:uid="{00000000-0005-0000-0000-00003C000000}"/>
    <cellStyle name="20% - Акцент4 3" xfId="66" xr:uid="{00000000-0005-0000-0000-00003D000000}"/>
    <cellStyle name="20% - Акцент4 3 2" xfId="67" xr:uid="{00000000-0005-0000-0000-00003E000000}"/>
    <cellStyle name="20% - Акцент5 2" xfId="68" xr:uid="{00000000-0005-0000-0000-00003F000000}"/>
    <cellStyle name="20% - Акцент5 2 2" xfId="69" xr:uid="{00000000-0005-0000-0000-000040000000}"/>
    <cellStyle name="20% - Акцент5 3" xfId="70" xr:uid="{00000000-0005-0000-0000-000041000000}"/>
    <cellStyle name="20% - Акцент5 3 2" xfId="71" xr:uid="{00000000-0005-0000-0000-000042000000}"/>
    <cellStyle name="20% - Акцент6 2" xfId="72" xr:uid="{00000000-0005-0000-0000-000043000000}"/>
    <cellStyle name="20% - Акцент6 2 2" xfId="73" xr:uid="{00000000-0005-0000-0000-000044000000}"/>
    <cellStyle name="20% - Акцент6 3" xfId="74" xr:uid="{00000000-0005-0000-0000-000045000000}"/>
    <cellStyle name="20% - Акцент6 3 2" xfId="75" xr:uid="{00000000-0005-0000-0000-000046000000}"/>
    <cellStyle name="40% - Акцент1 2" xfId="76" xr:uid="{00000000-0005-0000-0000-000047000000}"/>
    <cellStyle name="40% - Акцент1 2 2" xfId="77" xr:uid="{00000000-0005-0000-0000-000048000000}"/>
    <cellStyle name="40% - Акцент1 3" xfId="78" xr:uid="{00000000-0005-0000-0000-000049000000}"/>
    <cellStyle name="40% - Акцент1 3 2" xfId="79" xr:uid="{00000000-0005-0000-0000-00004A000000}"/>
    <cellStyle name="40% - Акцент2 2" xfId="80" xr:uid="{00000000-0005-0000-0000-00004B000000}"/>
    <cellStyle name="40% - Акцент2 2 2" xfId="81" xr:uid="{00000000-0005-0000-0000-00004C000000}"/>
    <cellStyle name="40% - Акцент2 3" xfId="82" xr:uid="{00000000-0005-0000-0000-00004D000000}"/>
    <cellStyle name="40% - Акцент2 3 2" xfId="83" xr:uid="{00000000-0005-0000-0000-00004E000000}"/>
    <cellStyle name="40% - Акцент3 2" xfId="84" xr:uid="{00000000-0005-0000-0000-00004F000000}"/>
    <cellStyle name="40% - Акцент3 2 2" xfId="85" xr:uid="{00000000-0005-0000-0000-000050000000}"/>
    <cellStyle name="40% - Акцент3 3" xfId="86" xr:uid="{00000000-0005-0000-0000-000051000000}"/>
    <cellStyle name="40% - Акцент3 3 2" xfId="87" xr:uid="{00000000-0005-0000-0000-000052000000}"/>
    <cellStyle name="40% - Акцент4 2" xfId="88" xr:uid="{00000000-0005-0000-0000-000053000000}"/>
    <cellStyle name="40% - Акцент4 2 2" xfId="89" xr:uid="{00000000-0005-0000-0000-000054000000}"/>
    <cellStyle name="40% - Акцент4 3" xfId="90" xr:uid="{00000000-0005-0000-0000-000055000000}"/>
    <cellStyle name="40% - Акцент4 3 2" xfId="91" xr:uid="{00000000-0005-0000-0000-000056000000}"/>
    <cellStyle name="40% - Акцент5 2" xfId="92" xr:uid="{00000000-0005-0000-0000-000057000000}"/>
    <cellStyle name="40% - Акцент5 2 2" xfId="93" xr:uid="{00000000-0005-0000-0000-000058000000}"/>
    <cellStyle name="40% - Акцент5 3" xfId="94" xr:uid="{00000000-0005-0000-0000-000059000000}"/>
    <cellStyle name="40% - Акцент5 3 2" xfId="95" xr:uid="{00000000-0005-0000-0000-00005A000000}"/>
    <cellStyle name="40% - Акцент6 2" xfId="96" xr:uid="{00000000-0005-0000-0000-00005B000000}"/>
    <cellStyle name="40% - Акцент6 2 2" xfId="97" xr:uid="{00000000-0005-0000-0000-00005C000000}"/>
    <cellStyle name="40% - Акцент6 3" xfId="98" xr:uid="{00000000-0005-0000-0000-00005D000000}"/>
    <cellStyle name="40% - Акцент6 3 2" xfId="99" xr:uid="{00000000-0005-0000-0000-00005E000000}"/>
    <cellStyle name="60% - Акцент1 2" xfId="100" xr:uid="{00000000-0005-0000-0000-00005F000000}"/>
    <cellStyle name="60% - Акцент1 3" xfId="101" xr:uid="{00000000-0005-0000-0000-000060000000}"/>
    <cellStyle name="60% - Акцент2 2" xfId="102" xr:uid="{00000000-0005-0000-0000-000061000000}"/>
    <cellStyle name="60% - Акцент2 3" xfId="103" xr:uid="{00000000-0005-0000-0000-000062000000}"/>
    <cellStyle name="60% - Акцент3 2" xfId="104" xr:uid="{00000000-0005-0000-0000-000063000000}"/>
    <cellStyle name="60% - Акцент3 3" xfId="105" xr:uid="{00000000-0005-0000-0000-000064000000}"/>
    <cellStyle name="60% - Акцент4 2" xfId="106" xr:uid="{00000000-0005-0000-0000-000065000000}"/>
    <cellStyle name="60% - Акцент4 3" xfId="107" xr:uid="{00000000-0005-0000-0000-000066000000}"/>
    <cellStyle name="60% - Акцент5 2" xfId="108" xr:uid="{00000000-0005-0000-0000-000067000000}"/>
    <cellStyle name="60% - Акцент5 3" xfId="109" xr:uid="{00000000-0005-0000-0000-000068000000}"/>
    <cellStyle name="60% - Акцент6 2" xfId="110" xr:uid="{00000000-0005-0000-0000-000069000000}"/>
    <cellStyle name="60% - Акцент6 3" xfId="111" xr:uid="{00000000-0005-0000-0000-00006A000000}"/>
    <cellStyle name="A modif Blanc" xfId="112" xr:uid="{00000000-0005-0000-0000-00006B000000}"/>
    <cellStyle name="A modifier" xfId="113" xr:uid="{00000000-0005-0000-0000-00006C000000}"/>
    <cellStyle name="ÅëÈ­ [0]_±âÅ¸" xfId="114" xr:uid="{00000000-0005-0000-0000-00006D000000}"/>
    <cellStyle name="ÅëÈ­_±âÅ¸" xfId="115" xr:uid="{00000000-0005-0000-0000-00006E000000}"/>
    <cellStyle name="ÄÞ¸¶ [0]_±âÅ¸" xfId="116" xr:uid="{00000000-0005-0000-0000-00006F000000}"/>
    <cellStyle name="ÄÞ¸¶_±âÅ¸" xfId="117" xr:uid="{00000000-0005-0000-0000-000070000000}"/>
    <cellStyle name="Besuchter Hyperlink_Appendix 2_BP_2003 - AUS Narratives_0802" xfId="118" xr:uid="{00000000-0005-0000-0000-000071000000}"/>
    <cellStyle name="Body" xfId="119" xr:uid="{00000000-0005-0000-0000-000072000000}"/>
    <cellStyle name="Border" xfId="120" xr:uid="{00000000-0005-0000-0000-000073000000}"/>
    <cellStyle name="Ç¥ÁØ_¿ù°£¿ä¾àº¸°í" xfId="121" xr:uid="{00000000-0005-0000-0000-000074000000}"/>
    <cellStyle name="Column_Title" xfId="122" xr:uid="{00000000-0005-0000-0000-000075000000}"/>
    <cellStyle name="Comma  - Style1" xfId="123" xr:uid="{00000000-0005-0000-0000-000076000000}"/>
    <cellStyle name="Comma  - Style2" xfId="124" xr:uid="{00000000-0005-0000-0000-000077000000}"/>
    <cellStyle name="Comma  - Style3" xfId="125" xr:uid="{00000000-0005-0000-0000-000078000000}"/>
    <cellStyle name="Comma  - Style4" xfId="126" xr:uid="{00000000-0005-0000-0000-000079000000}"/>
    <cellStyle name="Comma  - Style5" xfId="127" xr:uid="{00000000-0005-0000-0000-00007A000000}"/>
    <cellStyle name="Comma  - Style6" xfId="128" xr:uid="{00000000-0005-0000-0000-00007B000000}"/>
    <cellStyle name="Comma  - Style7" xfId="129" xr:uid="{00000000-0005-0000-0000-00007C000000}"/>
    <cellStyle name="Comma  - Style8" xfId="130" xr:uid="{00000000-0005-0000-0000-00007D000000}"/>
    <cellStyle name="Comma [0]_250496_headcount" xfId="131" xr:uid="{00000000-0005-0000-0000-00007E000000}"/>
    <cellStyle name="Comma_250496_headcount" xfId="132" xr:uid="{00000000-0005-0000-0000-00007F000000}"/>
    <cellStyle name="Currency [0]_250496_headcount" xfId="133" xr:uid="{00000000-0005-0000-0000-000080000000}"/>
    <cellStyle name="Currency_250496_headcount" xfId="134" xr:uid="{00000000-0005-0000-0000-000081000000}"/>
    <cellStyle name="Dezimal [0]_aUSLAGERUNG" xfId="135" xr:uid="{00000000-0005-0000-0000-000082000000}"/>
    <cellStyle name="Dezimal_aUSLAGERUNG" xfId="136" xr:uid="{00000000-0005-0000-0000-000083000000}"/>
    <cellStyle name="Dziesiêtny [0]_laroux" xfId="137" xr:uid="{00000000-0005-0000-0000-000084000000}"/>
    <cellStyle name="Dziesiêtny_laroux" xfId="138" xr:uid="{00000000-0005-0000-0000-000085000000}"/>
    <cellStyle name="Euro" xfId="139" xr:uid="{00000000-0005-0000-0000-000086000000}"/>
    <cellStyle name="Excel Built-in Normal 1" xfId="140" xr:uid="{00000000-0005-0000-0000-000087000000}"/>
    <cellStyle name="EY House" xfId="141" xr:uid="{00000000-0005-0000-0000-000088000000}"/>
    <cellStyle name="Feature" xfId="142" xr:uid="{00000000-0005-0000-0000-000089000000}"/>
    <cellStyle name="Grey" xfId="143" xr:uid="{00000000-0005-0000-0000-00008A000000}"/>
    <cellStyle name="Header1" xfId="144" xr:uid="{00000000-0005-0000-0000-00008B000000}"/>
    <cellStyle name="Header2" xfId="145" xr:uid="{00000000-0005-0000-0000-00008C000000}"/>
    <cellStyle name="Input [yellow]" xfId="146" xr:uid="{00000000-0005-0000-0000-00008D000000}"/>
    <cellStyle name="Licence" xfId="147" xr:uid="{00000000-0005-0000-0000-00008E000000}"/>
    <cellStyle name="Migliaia (0)_bs" xfId="148" xr:uid="{00000000-0005-0000-0000-00008F000000}"/>
    <cellStyle name="Migliaia_bs" xfId="149" xr:uid="{00000000-0005-0000-0000-000090000000}"/>
    <cellStyle name="Millares [0]_laroux" xfId="150" xr:uid="{00000000-0005-0000-0000-000091000000}"/>
    <cellStyle name="Millares_laroux" xfId="151" xr:uid="{00000000-0005-0000-0000-000092000000}"/>
    <cellStyle name="Milliers [0]_Investment" xfId="152" xr:uid="{00000000-0005-0000-0000-000093000000}"/>
    <cellStyle name="Milliers_laroux" xfId="153" xr:uid="{00000000-0005-0000-0000-000094000000}"/>
    <cellStyle name="Moneda [0]_laroux" xfId="154" xr:uid="{00000000-0005-0000-0000-000095000000}"/>
    <cellStyle name="Moneda_laroux" xfId="155" xr:uid="{00000000-0005-0000-0000-000096000000}"/>
    <cellStyle name="mмny_laroux" xfId="156" xr:uid="{00000000-0005-0000-0000-000097000000}"/>
    <cellStyle name="no dec" xfId="157" xr:uid="{00000000-0005-0000-0000-000098000000}"/>
    <cellStyle name="Normal - Style1" xfId="158" xr:uid="{00000000-0005-0000-0000-000099000000}"/>
    <cellStyle name="Normal_?????" xfId="159" xr:uid="{00000000-0005-0000-0000-00009A000000}"/>
    <cellStyle name="Normal1" xfId="160" xr:uid="{00000000-0005-0000-0000-00009B000000}"/>
    <cellStyle name="Normale_PDC-CCOA" xfId="161" xr:uid="{00000000-0005-0000-0000-00009C000000}"/>
    <cellStyle name="normální_laroux" xfId="162" xr:uid="{00000000-0005-0000-0000-00009D000000}"/>
    <cellStyle name="Normalny_laroux" xfId="163" xr:uid="{00000000-0005-0000-0000-00009E000000}"/>
    <cellStyle name="normбlnм_laroux" xfId="164" xr:uid="{00000000-0005-0000-0000-00009F000000}"/>
    <cellStyle name="normбlnн_laroux" xfId="165" xr:uid="{00000000-0005-0000-0000-0000A0000000}"/>
    <cellStyle name="Percent [2]" xfId="166" xr:uid="{00000000-0005-0000-0000-0000A1000000}"/>
    <cellStyle name="Price_Body" xfId="167" xr:uid="{00000000-0005-0000-0000-0000A2000000}"/>
    <cellStyle name="Prozent_Bew. Fertigerzeunisse 05-98" xfId="168" xr:uid="{00000000-0005-0000-0000-0000A3000000}"/>
    <cellStyle name="SAPBEXaggData" xfId="169" xr:uid="{00000000-0005-0000-0000-0000A4000000}"/>
    <cellStyle name="SAPBEXaggDataEmph" xfId="170" xr:uid="{00000000-0005-0000-0000-0000A5000000}"/>
    <cellStyle name="SAPBEXaggItem" xfId="171" xr:uid="{00000000-0005-0000-0000-0000A6000000}"/>
    <cellStyle name="SAPBEXaggItemX" xfId="172" xr:uid="{00000000-0005-0000-0000-0000A7000000}"/>
    <cellStyle name="SAPBEXchaText" xfId="173" xr:uid="{00000000-0005-0000-0000-0000A8000000}"/>
    <cellStyle name="SAPBEXexcBad7" xfId="174" xr:uid="{00000000-0005-0000-0000-0000A9000000}"/>
    <cellStyle name="SAPBEXexcBad8" xfId="175" xr:uid="{00000000-0005-0000-0000-0000AA000000}"/>
    <cellStyle name="SAPBEXexcBad9" xfId="176" xr:uid="{00000000-0005-0000-0000-0000AB000000}"/>
    <cellStyle name="SAPBEXexcCritical4" xfId="177" xr:uid="{00000000-0005-0000-0000-0000AC000000}"/>
    <cellStyle name="SAPBEXexcCritical5" xfId="178" xr:uid="{00000000-0005-0000-0000-0000AD000000}"/>
    <cellStyle name="SAPBEXexcCritical6" xfId="179" xr:uid="{00000000-0005-0000-0000-0000AE000000}"/>
    <cellStyle name="SAPBEXexcGood1" xfId="180" xr:uid="{00000000-0005-0000-0000-0000AF000000}"/>
    <cellStyle name="SAPBEXexcGood2" xfId="181" xr:uid="{00000000-0005-0000-0000-0000B0000000}"/>
    <cellStyle name="SAPBEXexcGood3" xfId="182" xr:uid="{00000000-0005-0000-0000-0000B1000000}"/>
    <cellStyle name="SAPBEXfilterDrill" xfId="183" xr:uid="{00000000-0005-0000-0000-0000B2000000}"/>
    <cellStyle name="SAPBEXfilterItem" xfId="184" xr:uid="{00000000-0005-0000-0000-0000B3000000}"/>
    <cellStyle name="SAPBEXfilterText" xfId="185" xr:uid="{00000000-0005-0000-0000-0000B4000000}"/>
    <cellStyle name="SAPBEXformats" xfId="186" xr:uid="{00000000-0005-0000-0000-0000B5000000}"/>
    <cellStyle name="SAPBEXheaderItem" xfId="187" xr:uid="{00000000-0005-0000-0000-0000B6000000}"/>
    <cellStyle name="SAPBEXheaderText" xfId="188" xr:uid="{00000000-0005-0000-0000-0000B7000000}"/>
    <cellStyle name="SAPBEXHLevel0" xfId="189" xr:uid="{00000000-0005-0000-0000-0000B8000000}"/>
    <cellStyle name="SAPBEXHLevel0X" xfId="190" xr:uid="{00000000-0005-0000-0000-0000B9000000}"/>
    <cellStyle name="SAPBEXHLevel1" xfId="191" xr:uid="{00000000-0005-0000-0000-0000BA000000}"/>
    <cellStyle name="SAPBEXHLevel1X" xfId="192" xr:uid="{00000000-0005-0000-0000-0000BB000000}"/>
    <cellStyle name="SAPBEXHLevel2" xfId="193" xr:uid="{00000000-0005-0000-0000-0000BC000000}"/>
    <cellStyle name="SAPBEXHLevel2X" xfId="194" xr:uid="{00000000-0005-0000-0000-0000BD000000}"/>
    <cellStyle name="SAPBEXHLevel3" xfId="195" xr:uid="{00000000-0005-0000-0000-0000BE000000}"/>
    <cellStyle name="SAPBEXHLevel3X" xfId="196" xr:uid="{00000000-0005-0000-0000-0000BF000000}"/>
    <cellStyle name="SAPBEXresData" xfId="197" xr:uid="{00000000-0005-0000-0000-0000C0000000}"/>
    <cellStyle name="SAPBEXresDataEmph" xfId="198" xr:uid="{00000000-0005-0000-0000-0000C1000000}"/>
    <cellStyle name="SAPBEXresItem" xfId="199" xr:uid="{00000000-0005-0000-0000-0000C2000000}"/>
    <cellStyle name="SAPBEXresItemX" xfId="200" xr:uid="{00000000-0005-0000-0000-0000C3000000}"/>
    <cellStyle name="SAPBEXstdData" xfId="201" xr:uid="{00000000-0005-0000-0000-0000C4000000}"/>
    <cellStyle name="SAPBEXstdDataEmph" xfId="202" xr:uid="{00000000-0005-0000-0000-0000C5000000}"/>
    <cellStyle name="SAPBEXstdItem" xfId="203" xr:uid="{00000000-0005-0000-0000-0000C6000000}"/>
    <cellStyle name="SAPBEXstdItemX" xfId="204" xr:uid="{00000000-0005-0000-0000-0000C7000000}"/>
    <cellStyle name="SAPBEXtitle" xfId="205" xr:uid="{00000000-0005-0000-0000-0000C8000000}"/>
    <cellStyle name="SAPBEXundefined" xfId="206" xr:uid="{00000000-0005-0000-0000-0000C9000000}"/>
    <cellStyle name="Standard" xfId="207" xr:uid="{00000000-0005-0000-0000-0000CA000000}"/>
    <cellStyle name="Tioma Cells No Values" xfId="208" xr:uid="{00000000-0005-0000-0000-0000CB000000}"/>
    <cellStyle name="Tusental (0)_pldt" xfId="209" xr:uid="{00000000-0005-0000-0000-0000CC000000}"/>
    <cellStyle name="Tusental_pldt" xfId="210" xr:uid="{00000000-0005-0000-0000-0000CD000000}"/>
    <cellStyle name="Update" xfId="211" xr:uid="{00000000-0005-0000-0000-0000CE000000}"/>
    <cellStyle name="Valuta (0)_bs" xfId="212" xr:uid="{00000000-0005-0000-0000-0000CF000000}"/>
    <cellStyle name="Valuta_bs" xfId="213" xr:uid="{00000000-0005-0000-0000-0000D0000000}"/>
    <cellStyle name="Währung [0]_Appendix 2_ BP_2002 - MMM Narratives_XXX" xfId="214" xr:uid="{00000000-0005-0000-0000-0000D1000000}"/>
    <cellStyle name="Währung_Appendix 2_ BP_2002 - MMM Narratives_XXX" xfId="215" xr:uid="{00000000-0005-0000-0000-0000D2000000}"/>
    <cellStyle name="Walutowy [0]_laroux" xfId="216" xr:uid="{00000000-0005-0000-0000-0000D3000000}"/>
    <cellStyle name="Walutowy_laroux" xfId="217" xr:uid="{00000000-0005-0000-0000-0000D4000000}"/>
    <cellStyle name="Βασικό_GEN.OBJ-Y.T.D.DEC.-96" xfId="218" xr:uid="{00000000-0005-0000-0000-0000D5000000}"/>
    <cellStyle name="Акцент1 2" xfId="219" xr:uid="{00000000-0005-0000-0000-0000D6000000}"/>
    <cellStyle name="Акцент1 3" xfId="220" xr:uid="{00000000-0005-0000-0000-0000D7000000}"/>
    <cellStyle name="Акцент2 2" xfId="221" xr:uid="{00000000-0005-0000-0000-0000D8000000}"/>
    <cellStyle name="Акцент2 3" xfId="222" xr:uid="{00000000-0005-0000-0000-0000D9000000}"/>
    <cellStyle name="Акцент3 2" xfId="223" xr:uid="{00000000-0005-0000-0000-0000DA000000}"/>
    <cellStyle name="Акцент3 3" xfId="224" xr:uid="{00000000-0005-0000-0000-0000DB000000}"/>
    <cellStyle name="Акцент4 2" xfId="225" xr:uid="{00000000-0005-0000-0000-0000DC000000}"/>
    <cellStyle name="Акцент4 3" xfId="226" xr:uid="{00000000-0005-0000-0000-0000DD000000}"/>
    <cellStyle name="Акцент5 2" xfId="227" xr:uid="{00000000-0005-0000-0000-0000DE000000}"/>
    <cellStyle name="Акцент5 3" xfId="228" xr:uid="{00000000-0005-0000-0000-0000DF000000}"/>
    <cellStyle name="Акцент6 2" xfId="229" xr:uid="{00000000-0005-0000-0000-0000E0000000}"/>
    <cellStyle name="Акцент6 3" xfId="230" xr:uid="{00000000-0005-0000-0000-0000E1000000}"/>
    <cellStyle name="Ввод  2" xfId="231" xr:uid="{00000000-0005-0000-0000-0000E2000000}"/>
    <cellStyle name="Ввод  3" xfId="232" xr:uid="{00000000-0005-0000-0000-0000E3000000}"/>
    <cellStyle name="Вывод 2" xfId="233" xr:uid="{00000000-0005-0000-0000-0000E4000000}"/>
    <cellStyle name="Вывод 3" xfId="234" xr:uid="{00000000-0005-0000-0000-0000E5000000}"/>
    <cellStyle name="Вычисление 2" xfId="235" xr:uid="{00000000-0005-0000-0000-0000E6000000}"/>
    <cellStyle name="Вычисление 3" xfId="236" xr:uid="{00000000-0005-0000-0000-0000E7000000}"/>
    <cellStyle name="Гиперссылка 2" xfId="237" xr:uid="{00000000-0005-0000-0000-0000E8000000}"/>
    <cellStyle name="Денежный [0] 2" xfId="238" xr:uid="{00000000-0005-0000-0000-0000E9000000}"/>
    <cellStyle name="Заголовок 1 2" xfId="239" xr:uid="{00000000-0005-0000-0000-0000EA000000}"/>
    <cellStyle name="Заголовок 1 3" xfId="240" xr:uid="{00000000-0005-0000-0000-0000EB000000}"/>
    <cellStyle name="Заголовок 2 2" xfId="241" xr:uid="{00000000-0005-0000-0000-0000EC000000}"/>
    <cellStyle name="Заголовок 2 3" xfId="242" xr:uid="{00000000-0005-0000-0000-0000ED000000}"/>
    <cellStyle name="Заголовок 3 2" xfId="243" xr:uid="{00000000-0005-0000-0000-0000EE000000}"/>
    <cellStyle name="Заголовок 3 3" xfId="244" xr:uid="{00000000-0005-0000-0000-0000EF000000}"/>
    <cellStyle name="Заголовок 4 2" xfId="245" xr:uid="{00000000-0005-0000-0000-0000F0000000}"/>
    <cellStyle name="Заголовок 4 3" xfId="246" xr:uid="{00000000-0005-0000-0000-0000F1000000}"/>
    <cellStyle name="ибrky [0]_laroux" xfId="247" xr:uid="{00000000-0005-0000-0000-0000F2000000}"/>
    <cellStyle name="ибrky_laroux" xfId="248" xr:uid="{00000000-0005-0000-0000-0000F3000000}"/>
    <cellStyle name="Итог 2" xfId="249" xr:uid="{00000000-0005-0000-0000-0000F4000000}"/>
    <cellStyle name="Итог 3" xfId="250" xr:uid="{00000000-0005-0000-0000-0000F5000000}"/>
    <cellStyle name="Контрольная ячейка 2" xfId="251" xr:uid="{00000000-0005-0000-0000-0000F6000000}"/>
    <cellStyle name="Контрольная ячейка 3" xfId="252" xr:uid="{00000000-0005-0000-0000-0000F7000000}"/>
    <cellStyle name="Название 2" xfId="253" xr:uid="{00000000-0005-0000-0000-0000F8000000}"/>
    <cellStyle name="Название 3" xfId="254" xr:uid="{00000000-0005-0000-0000-0000F9000000}"/>
    <cellStyle name="Нейтральный 2" xfId="255" xr:uid="{00000000-0005-0000-0000-0000FA000000}"/>
    <cellStyle name="Нейтральный 3" xfId="256" xr:uid="{00000000-0005-0000-0000-0000FB000000}"/>
    <cellStyle name="Обычный" xfId="0" builtinId="0"/>
    <cellStyle name="Обычный 10" xfId="257" xr:uid="{00000000-0005-0000-0000-0000FD000000}"/>
    <cellStyle name="Обычный 10 2" xfId="258" xr:uid="{00000000-0005-0000-0000-0000FE000000}"/>
    <cellStyle name="Обычный 11" xfId="259" xr:uid="{00000000-0005-0000-0000-0000FF000000}"/>
    <cellStyle name="Обычный 11 2" xfId="260" xr:uid="{00000000-0005-0000-0000-000000010000}"/>
    <cellStyle name="Обычный 12" xfId="261" xr:uid="{00000000-0005-0000-0000-000001010000}"/>
    <cellStyle name="Обычный 12 2" xfId="262" xr:uid="{00000000-0005-0000-0000-000002010000}"/>
    <cellStyle name="Обычный 13" xfId="263" xr:uid="{00000000-0005-0000-0000-000003010000}"/>
    <cellStyle name="Обычный 13 2" xfId="264" xr:uid="{00000000-0005-0000-0000-000004010000}"/>
    <cellStyle name="Обычный 14" xfId="265" xr:uid="{00000000-0005-0000-0000-000005010000}"/>
    <cellStyle name="Обычный 14 2" xfId="266" xr:uid="{00000000-0005-0000-0000-000006010000}"/>
    <cellStyle name="Обычный 14 2 2" xfId="267" xr:uid="{00000000-0005-0000-0000-000007010000}"/>
    <cellStyle name="Обычный 14 2 2 2" xfId="268" xr:uid="{00000000-0005-0000-0000-000008010000}"/>
    <cellStyle name="Обычный 14 2 3" xfId="269" xr:uid="{00000000-0005-0000-0000-000009010000}"/>
    <cellStyle name="Обычный 14 2 4" xfId="270" xr:uid="{00000000-0005-0000-0000-00000A010000}"/>
    <cellStyle name="Обычный 14 3" xfId="271" xr:uid="{00000000-0005-0000-0000-00000B010000}"/>
    <cellStyle name="Обычный 14 4" xfId="272" xr:uid="{00000000-0005-0000-0000-00000C010000}"/>
    <cellStyle name="Обычный 14 4 2" xfId="273" xr:uid="{00000000-0005-0000-0000-00000D010000}"/>
    <cellStyle name="Обычный 14 5" xfId="274" xr:uid="{00000000-0005-0000-0000-00000E010000}"/>
    <cellStyle name="Обычный 14 6" xfId="275" xr:uid="{00000000-0005-0000-0000-00000F010000}"/>
    <cellStyle name="Обычный 14_План факт Родина" xfId="276" xr:uid="{00000000-0005-0000-0000-000010010000}"/>
    <cellStyle name="Обычный 15" xfId="277" xr:uid="{00000000-0005-0000-0000-000011010000}"/>
    <cellStyle name="Обычный 16" xfId="278" xr:uid="{00000000-0005-0000-0000-000012010000}"/>
    <cellStyle name="Обычный 17" xfId="279" xr:uid="{00000000-0005-0000-0000-000013010000}"/>
    <cellStyle name="Обычный 18" xfId="280" xr:uid="{00000000-0005-0000-0000-000014010000}"/>
    <cellStyle name="Обычный 19" xfId="281" xr:uid="{00000000-0005-0000-0000-000015010000}"/>
    <cellStyle name="Обычный 19 2" xfId="282" xr:uid="{00000000-0005-0000-0000-000016010000}"/>
    <cellStyle name="Обычный 19 2 2" xfId="283" xr:uid="{00000000-0005-0000-0000-000017010000}"/>
    <cellStyle name="Обычный 19 3" xfId="284" xr:uid="{00000000-0005-0000-0000-000018010000}"/>
    <cellStyle name="Обычный 19 4" xfId="285" xr:uid="{00000000-0005-0000-0000-000019010000}"/>
    <cellStyle name="Обычный 2" xfId="2" xr:uid="{00000000-0005-0000-0000-00001A010000}"/>
    <cellStyle name="Обычный 2 2" xfId="286" xr:uid="{00000000-0005-0000-0000-00001B010000}"/>
    <cellStyle name="Обычный 2 2 2" xfId="287" xr:uid="{00000000-0005-0000-0000-00001C010000}"/>
    <cellStyle name="Обычный 2 3" xfId="288" xr:uid="{00000000-0005-0000-0000-00001D010000}"/>
    <cellStyle name="Обычный 2 3 2" xfId="289" xr:uid="{00000000-0005-0000-0000-00001E010000}"/>
    <cellStyle name="Обычный 20" xfId="290" xr:uid="{00000000-0005-0000-0000-00001F010000}"/>
    <cellStyle name="Обычный 21" xfId="291" xr:uid="{00000000-0005-0000-0000-000020010000}"/>
    <cellStyle name="Обычный 21 2" xfId="292" xr:uid="{00000000-0005-0000-0000-000021010000}"/>
    <cellStyle name="Обычный 22" xfId="293" xr:uid="{00000000-0005-0000-0000-000022010000}"/>
    <cellStyle name="Обычный 22 2" xfId="294" xr:uid="{00000000-0005-0000-0000-000023010000}"/>
    <cellStyle name="Обычный 23" xfId="295" xr:uid="{00000000-0005-0000-0000-000024010000}"/>
    <cellStyle name="Обычный 23 2" xfId="296" xr:uid="{00000000-0005-0000-0000-000025010000}"/>
    <cellStyle name="Обычный 24" xfId="297" xr:uid="{00000000-0005-0000-0000-000026010000}"/>
    <cellStyle name="Обычный 24 2" xfId="298" xr:uid="{00000000-0005-0000-0000-000027010000}"/>
    <cellStyle name="Обычный 25" xfId="299" xr:uid="{00000000-0005-0000-0000-000028010000}"/>
    <cellStyle name="Обычный 25 2" xfId="300" xr:uid="{00000000-0005-0000-0000-000029010000}"/>
    <cellStyle name="Обычный 26" xfId="301" xr:uid="{00000000-0005-0000-0000-00002A010000}"/>
    <cellStyle name="Обычный 26 2" xfId="302" xr:uid="{00000000-0005-0000-0000-00002B010000}"/>
    <cellStyle name="Обычный 27" xfId="303" xr:uid="{00000000-0005-0000-0000-00002C010000}"/>
    <cellStyle name="Обычный 27 2" xfId="304" xr:uid="{00000000-0005-0000-0000-00002D010000}"/>
    <cellStyle name="Обычный 28" xfId="305" xr:uid="{00000000-0005-0000-0000-00002E010000}"/>
    <cellStyle name="Обычный 28 2" xfId="306" xr:uid="{00000000-0005-0000-0000-00002F010000}"/>
    <cellStyle name="Обычный 29" xfId="307" xr:uid="{00000000-0005-0000-0000-000030010000}"/>
    <cellStyle name="Обычный 3" xfId="4" xr:uid="{00000000-0005-0000-0000-000031010000}"/>
    <cellStyle name="Обычный 3 2" xfId="308" xr:uid="{00000000-0005-0000-0000-000032010000}"/>
    <cellStyle name="Обычный 3 3" xfId="309" xr:uid="{00000000-0005-0000-0000-000033010000}"/>
    <cellStyle name="Обычный 3_P&amp;L_2009" xfId="310" xr:uid="{00000000-0005-0000-0000-000034010000}"/>
    <cellStyle name="Обычный 30" xfId="311" xr:uid="{00000000-0005-0000-0000-000035010000}"/>
    <cellStyle name="Обычный 31" xfId="312" xr:uid="{00000000-0005-0000-0000-000036010000}"/>
    <cellStyle name="Обычный 32" xfId="313" xr:uid="{00000000-0005-0000-0000-000037010000}"/>
    <cellStyle name="Обычный 33" xfId="314" xr:uid="{00000000-0005-0000-0000-000038010000}"/>
    <cellStyle name="Обычный 34" xfId="315" xr:uid="{00000000-0005-0000-0000-000039010000}"/>
    <cellStyle name="Обычный 35" xfId="316" xr:uid="{00000000-0005-0000-0000-00003A010000}"/>
    <cellStyle name="Обычный 36" xfId="317" xr:uid="{00000000-0005-0000-0000-00003B010000}"/>
    <cellStyle name="Обычный 37" xfId="1" xr:uid="{00000000-0005-0000-0000-00003C010000}"/>
    <cellStyle name="Обычный 38" xfId="389" xr:uid="{00000000-0005-0000-0000-00003D010000}"/>
    <cellStyle name="Обычный 39" xfId="390" xr:uid="{00000000-0005-0000-0000-00003E010000}"/>
    <cellStyle name="Обычный 4" xfId="318" xr:uid="{00000000-0005-0000-0000-00003F010000}"/>
    <cellStyle name="Обычный 4 2" xfId="319" xr:uid="{00000000-0005-0000-0000-000040010000}"/>
    <cellStyle name="Обычный 4 2 2" xfId="320" xr:uid="{00000000-0005-0000-0000-000041010000}"/>
    <cellStyle name="Обычный 4 2 3" xfId="321" xr:uid="{00000000-0005-0000-0000-000042010000}"/>
    <cellStyle name="Обычный 4 3" xfId="322" xr:uid="{00000000-0005-0000-0000-000043010000}"/>
    <cellStyle name="Обычный 40" xfId="391" xr:uid="{00000000-0005-0000-0000-000044010000}"/>
    <cellStyle name="Обычный 41" xfId="392" xr:uid="{00000000-0005-0000-0000-000045010000}"/>
    <cellStyle name="Обычный 42" xfId="323" xr:uid="{00000000-0005-0000-0000-000046010000}"/>
    <cellStyle name="Обычный 43" xfId="393" xr:uid="{00000000-0005-0000-0000-000047010000}"/>
    <cellStyle name="Обычный 5" xfId="324" xr:uid="{00000000-0005-0000-0000-000048010000}"/>
    <cellStyle name="Обычный 5 2" xfId="325" xr:uid="{00000000-0005-0000-0000-000049010000}"/>
    <cellStyle name="Обычный 5 2 2" xfId="326" xr:uid="{00000000-0005-0000-0000-00004A010000}"/>
    <cellStyle name="Обычный 5 2 2 2" xfId="327" xr:uid="{00000000-0005-0000-0000-00004B010000}"/>
    <cellStyle name="Обычный 5 2 2 2 2" xfId="328" xr:uid="{00000000-0005-0000-0000-00004C010000}"/>
    <cellStyle name="Обычный 5 2 2 3" xfId="329" xr:uid="{00000000-0005-0000-0000-00004D010000}"/>
    <cellStyle name="Обычный 5 2 2 4" xfId="330" xr:uid="{00000000-0005-0000-0000-00004E010000}"/>
    <cellStyle name="Обычный 5 3" xfId="331" xr:uid="{00000000-0005-0000-0000-00004F010000}"/>
    <cellStyle name="Обычный 5 3 2" xfId="332" xr:uid="{00000000-0005-0000-0000-000050010000}"/>
    <cellStyle name="Обычный 5 3 2 2" xfId="333" xr:uid="{00000000-0005-0000-0000-000051010000}"/>
    <cellStyle name="Обычный 5 3 3" xfId="334" xr:uid="{00000000-0005-0000-0000-000052010000}"/>
    <cellStyle name="Обычный 5 3 4" xfId="335" xr:uid="{00000000-0005-0000-0000-000053010000}"/>
    <cellStyle name="Обычный 5 4" xfId="336" xr:uid="{00000000-0005-0000-0000-000054010000}"/>
    <cellStyle name="Обычный 6" xfId="337" xr:uid="{00000000-0005-0000-0000-000055010000}"/>
    <cellStyle name="Обычный 6 2" xfId="338" xr:uid="{00000000-0005-0000-0000-000056010000}"/>
    <cellStyle name="Обычный 6 3" xfId="339" xr:uid="{00000000-0005-0000-0000-000057010000}"/>
    <cellStyle name="Обычный 7" xfId="340" xr:uid="{00000000-0005-0000-0000-000058010000}"/>
    <cellStyle name="Обычный 7 2" xfId="341" xr:uid="{00000000-0005-0000-0000-000059010000}"/>
    <cellStyle name="Обычный 7 2 2" xfId="342" xr:uid="{00000000-0005-0000-0000-00005A010000}"/>
    <cellStyle name="Обычный 8" xfId="343" xr:uid="{00000000-0005-0000-0000-00005B010000}"/>
    <cellStyle name="Обычный 8 2" xfId="344" xr:uid="{00000000-0005-0000-0000-00005C010000}"/>
    <cellStyle name="Обычный 9" xfId="345" xr:uid="{00000000-0005-0000-0000-00005D010000}"/>
    <cellStyle name="Обычный 9 2" xfId="346" xr:uid="{00000000-0005-0000-0000-00005E010000}"/>
    <cellStyle name="Обычный 9 2 2" xfId="347" xr:uid="{00000000-0005-0000-0000-00005F010000}"/>
    <cellStyle name="Плохой 2" xfId="348" xr:uid="{00000000-0005-0000-0000-000060010000}"/>
    <cellStyle name="Плохой 3" xfId="349" xr:uid="{00000000-0005-0000-0000-000061010000}"/>
    <cellStyle name="Пояснение 2" xfId="350" xr:uid="{00000000-0005-0000-0000-000062010000}"/>
    <cellStyle name="Пояснение 3" xfId="351" xr:uid="{00000000-0005-0000-0000-000063010000}"/>
    <cellStyle name="Примечание 2" xfId="352" xr:uid="{00000000-0005-0000-0000-000064010000}"/>
    <cellStyle name="Примечание 2 2" xfId="353" xr:uid="{00000000-0005-0000-0000-000065010000}"/>
    <cellStyle name="Примечание 3" xfId="354" xr:uid="{00000000-0005-0000-0000-000066010000}"/>
    <cellStyle name="Процентный 2" xfId="355" xr:uid="{00000000-0005-0000-0000-000067010000}"/>
    <cellStyle name="Процентный 2 2" xfId="356" xr:uid="{00000000-0005-0000-0000-000068010000}"/>
    <cellStyle name="Процентный 3" xfId="357" xr:uid="{00000000-0005-0000-0000-000069010000}"/>
    <cellStyle name="Процентный 4" xfId="358" xr:uid="{00000000-0005-0000-0000-00006A010000}"/>
    <cellStyle name="Процентный 5" xfId="359" xr:uid="{00000000-0005-0000-0000-00006B010000}"/>
    <cellStyle name="Процентный 6" xfId="360" xr:uid="{00000000-0005-0000-0000-00006C010000}"/>
    <cellStyle name="Процентный 6 2" xfId="361" xr:uid="{00000000-0005-0000-0000-00006D010000}"/>
    <cellStyle name="Процентный 6 2 2" xfId="362" xr:uid="{00000000-0005-0000-0000-00006E010000}"/>
    <cellStyle name="Процентный 6 3" xfId="363" xr:uid="{00000000-0005-0000-0000-00006F010000}"/>
    <cellStyle name="Связанная ячейка 2" xfId="364" xr:uid="{00000000-0005-0000-0000-000070010000}"/>
    <cellStyle name="Связанная ячейка 3" xfId="365" xr:uid="{00000000-0005-0000-0000-000071010000}"/>
    <cellStyle name="Стиль 1" xfId="366" xr:uid="{00000000-0005-0000-0000-000072010000}"/>
    <cellStyle name="Текст предупреждения 2" xfId="367" xr:uid="{00000000-0005-0000-0000-000073010000}"/>
    <cellStyle name="Текст предупреждения 3" xfId="368" xr:uid="{00000000-0005-0000-0000-000074010000}"/>
    <cellStyle name="Тысячи [0]_27.02 скоррект. " xfId="369" xr:uid="{00000000-0005-0000-0000-000075010000}"/>
    <cellStyle name="Тысячи_27.02 скоррект. " xfId="370" xr:uid="{00000000-0005-0000-0000-000076010000}"/>
    <cellStyle name="Финансовый 2" xfId="3" xr:uid="{00000000-0005-0000-0000-000077010000}"/>
    <cellStyle name="Финансовый 2 2" xfId="371" xr:uid="{00000000-0005-0000-0000-000078010000}"/>
    <cellStyle name="Финансовый 2 2 2" xfId="372" xr:uid="{00000000-0005-0000-0000-000079010000}"/>
    <cellStyle name="Финансовый 2 3" xfId="373" xr:uid="{00000000-0005-0000-0000-00007A010000}"/>
    <cellStyle name="Финансовый 3" xfId="374" xr:uid="{00000000-0005-0000-0000-00007B010000}"/>
    <cellStyle name="Финансовый 4" xfId="375" xr:uid="{00000000-0005-0000-0000-00007C010000}"/>
    <cellStyle name="Финансовый 4 2" xfId="376" xr:uid="{00000000-0005-0000-0000-00007D010000}"/>
    <cellStyle name="Финансовый 5" xfId="377" xr:uid="{00000000-0005-0000-0000-00007E010000}"/>
    <cellStyle name="Финансовый 5 2" xfId="378" xr:uid="{00000000-0005-0000-0000-00007F010000}"/>
    <cellStyle name="Финансовый 6" xfId="379" xr:uid="{00000000-0005-0000-0000-000080010000}"/>
    <cellStyle name="Финансовый 6 2" xfId="380" xr:uid="{00000000-0005-0000-0000-000081010000}"/>
    <cellStyle name="Финансовый 6 2 2" xfId="381" xr:uid="{00000000-0005-0000-0000-000082010000}"/>
    <cellStyle name="Финансовый 6 3" xfId="382" xr:uid="{00000000-0005-0000-0000-000083010000}"/>
    <cellStyle name="Финансовый 6 4" xfId="383" xr:uid="{00000000-0005-0000-0000-000084010000}"/>
    <cellStyle name="Финансовый 7" xfId="384" xr:uid="{00000000-0005-0000-0000-000085010000}"/>
    <cellStyle name="Финансовый 8" xfId="385" xr:uid="{00000000-0005-0000-0000-000086010000}"/>
    <cellStyle name="Финансовый 9" xfId="386" xr:uid="{00000000-0005-0000-0000-000087010000}"/>
    <cellStyle name="Хороший 2" xfId="387" xr:uid="{00000000-0005-0000-0000-000088010000}"/>
    <cellStyle name="Хороший 3" xfId="388" xr:uid="{00000000-0005-0000-0000-000089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"/>
  <sheetViews>
    <sheetView tabSelected="1" workbookViewId="0">
      <selection activeCell="H20" sqref="H20"/>
    </sheetView>
  </sheetViews>
  <sheetFormatPr defaultRowHeight="14.25"/>
  <cols>
    <col min="1" max="1" width="35.53125" customWidth="1"/>
    <col min="18" max="18" width="12.19921875" customWidth="1"/>
  </cols>
  <sheetData>
    <row r="1" spans="1:18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8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8" ht="15.4">
      <c r="A3" s="3" t="s">
        <v>0</v>
      </c>
      <c r="B3" s="3" t="s">
        <v>29</v>
      </c>
      <c r="C3" s="3"/>
      <c r="D3" s="3"/>
      <c r="E3" s="3" t="s">
        <v>20</v>
      </c>
      <c r="F3" s="4"/>
      <c r="G3" s="4"/>
      <c r="H3" s="4"/>
      <c r="I3" s="5"/>
      <c r="J3" s="5"/>
      <c r="K3" s="5"/>
      <c r="L3" s="5"/>
      <c r="M3" s="5"/>
      <c r="N3" s="5"/>
      <c r="O3" s="5"/>
      <c r="P3" s="5"/>
    </row>
    <row r="4" spans="1: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8">
      <c r="A5" s="1" t="s">
        <v>1</v>
      </c>
      <c r="B5" s="1"/>
      <c r="C5" s="1"/>
      <c r="D5" s="1" t="s">
        <v>2</v>
      </c>
      <c r="E5" s="1"/>
      <c r="F5" s="1"/>
      <c r="G5" s="1"/>
      <c r="H5" s="1"/>
      <c r="I5" s="1"/>
      <c r="J5" s="1"/>
      <c r="K5" s="1"/>
      <c r="L5" s="1"/>
      <c r="M5" s="1"/>
      <c r="N5" s="6"/>
      <c r="O5" s="6"/>
      <c r="P5" s="7"/>
      <c r="Q5" s="7"/>
      <c r="R5" s="7"/>
    </row>
    <row r="6" spans="1:18">
      <c r="A6" s="8" t="s">
        <v>3</v>
      </c>
      <c r="B6" s="27" t="s">
        <v>4</v>
      </c>
      <c r="C6" s="29" t="s">
        <v>5</v>
      </c>
      <c r="D6" s="27" t="s">
        <v>6</v>
      </c>
      <c r="E6" s="21" t="s">
        <v>19</v>
      </c>
      <c r="F6" s="25"/>
      <c r="G6" s="21" t="s">
        <v>28</v>
      </c>
      <c r="H6" s="22"/>
      <c r="I6" s="21" t="s">
        <v>7</v>
      </c>
      <c r="J6" s="22"/>
      <c r="K6" s="21" t="s">
        <v>8</v>
      </c>
      <c r="L6" s="25"/>
      <c r="M6" s="21" t="s">
        <v>9</v>
      </c>
      <c r="N6" s="25"/>
      <c r="O6" s="21" t="s">
        <v>10</v>
      </c>
      <c r="P6" s="25"/>
      <c r="Q6" s="20" t="s">
        <v>11</v>
      </c>
      <c r="R6" s="20"/>
    </row>
    <row r="7" spans="1:18">
      <c r="A7" s="27" t="s">
        <v>12</v>
      </c>
      <c r="B7" s="28"/>
      <c r="C7" s="30"/>
      <c r="D7" s="28"/>
      <c r="E7" s="23"/>
      <c r="F7" s="26"/>
      <c r="G7" s="23"/>
      <c r="H7" s="24"/>
      <c r="I7" s="23"/>
      <c r="J7" s="24"/>
      <c r="K7" s="23"/>
      <c r="L7" s="26"/>
      <c r="M7" s="23"/>
      <c r="N7" s="26"/>
      <c r="O7" s="23"/>
      <c r="P7" s="26"/>
      <c r="Q7" s="20"/>
      <c r="R7" s="20"/>
    </row>
    <row r="8" spans="1:18" ht="30.4">
      <c r="A8" s="28"/>
      <c r="B8" s="28"/>
      <c r="C8" s="30"/>
      <c r="D8" s="28"/>
      <c r="E8" s="9" t="s">
        <v>13</v>
      </c>
      <c r="F8" s="10" t="s">
        <v>14</v>
      </c>
      <c r="G8" s="9" t="s">
        <v>13</v>
      </c>
      <c r="H8" s="10" t="s">
        <v>14</v>
      </c>
      <c r="I8" s="9" t="s">
        <v>13</v>
      </c>
      <c r="J8" s="10" t="s">
        <v>14</v>
      </c>
      <c r="K8" s="9" t="s">
        <v>13</v>
      </c>
      <c r="L8" s="10" t="s">
        <v>14</v>
      </c>
      <c r="M8" s="9" t="s">
        <v>15</v>
      </c>
      <c r="N8" s="10" t="s">
        <v>14</v>
      </c>
      <c r="O8" s="9" t="s">
        <v>13</v>
      </c>
      <c r="P8" s="10" t="s">
        <v>14</v>
      </c>
      <c r="Q8" s="9" t="s">
        <v>13</v>
      </c>
      <c r="R8" s="10" t="s">
        <v>14</v>
      </c>
    </row>
    <row r="9" spans="1:18">
      <c r="A9" s="28"/>
      <c r="B9" s="11" t="s">
        <v>16</v>
      </c>
      <c r="C9" s="30"/>
      <c r="D9" s="11" t="s">
        <v>17</v>
      </c>
      <c r="E9" s="12" t="s">
        <v>17</v>
      </c>
      <c r="F9" s="11" t="s">
        <v>18</v>
      </c>
      <c r="G9" s="11"/>
      <c r="H9" s="11"/>
      <c r="I9" s="12" t="s">
        <v>17</v>
      </c>
      <c r="J9" s="11" t="s">
        <v>18</v>
      </c>
      <c r="K9" s="12" t="s">
        <v>17</v>
      </c>
      <c r="L9" s="11" t="s">
        <v>18</v>
      </c>
      <c r="M9" s="12" t="s">
        <v>17</v>
      </c>
      <c r="N9" s="11" t="s">
        <v>18</v>
      </c>
      <c r="O9" s="12" t="s">
        <v>17</v>
      </c>
      <c r="P9" s="11" t="s">
        <v>18</v>
      </c>
      <c r="Q9" s="12" t="s">
        <v>17</v>
      </c>
      <c r="R9" s="11" t="s">
        <v>18</v>
      </c>
    </row>
    <row r="10" spans="1:18">
      <c r="A10" s="13" t="s">
        <v>22</v>
      </c>
      <c r="B10" s="14"/>
      <c r="C10" s="14"/>
      <c r="D10" s="15">
        <f t="shared" ref="D10" si="0">B10*C10</f>
        <v>0</v>
      </c>
      <c r="E10" s="14"/>
      <c r="F10" s="15">
        <f t="shared" ref="F10" si="1">B10*E10*C10</f>
        <v>0</v>
      </c>
      <c r="G10" s="15"/>
      <c r="H10" s="15"/>
      <c r="I10" s="14">
        <v>3</v>
      </c>
      <c r="J10" s="15">
        <f>B10*I10*C10</f>
        <v>0</v>
      </c>
      <c r="K10" s="14">
        <v>0.8</v>
      </c>
      <c r="L10" s="15">
        <f>B10*K10*C10</f>
        <v>0</v>
      </c>
      <c r="M10" s="14">
        <v>0.2</v>
      </c>
      <c r="N10" s="14">
        <f>B10*M10*C10</f>
        <v>0</v>
      </c>
      <c r="O10" s="16">
        <v>0.01</v>
      </c>
      <c r="P10" s="15">
        <f>B10*O10*C10</f>
        <v>0</v>
      </c>
      <c r="Q10" s="16">
        <v>0.01</v>
      </c>
      <c r="R10" s="15">
        <f t="shared" ref="R10:R15" si="2">Q10*B10*C10</f>
        <v>0</v>
      </c>
    </row>
    <row r="11" spans="1:18">
      <c r="A11" s="17" t="s">
        <v>23</v>
      </c>
      <c r="B11" s="14"/>
      <c r="C11" s="14"/>
      <c r="D11" s="15">
        <f t="shared" ref="D11:D15" si="3">B11*C11</f>
        <v>0</v>
      </c>
      <c r="E11" s="14"/>
      <c r="F11" s="15">
        <f t="shared" ref="F11:F15" si="4">B11*E11*C11</f>
        <v>0</v>
      </c>
      <c r="G11" s="15"/>
      <c r="H11" s="15"/>
      <c r="I11" s="14">
        <v>2.2000000000000002</v>
      </c>
      <c r="J11" s="15">
        <f t="shared" ref="J11:J15" si="5">B11*I11*C11</f>
        <v>0</v>
      </c>
      <c r="K11" s="14">
        <v>0.3</v>
      </c>
      <c r="L11" s="15">
        <f t="shared" ref="L11:L14" si="6">B11*K11*C11</f>
        <v>0</v>
      </c>
      <c r="M11" s="14">
        <v>0.3</v>
      </c>
      <c r="N11" s="14">
        <f t="shared" ref="N11:N15" si="7">B11*M11*C11</f>
        <v>0</v>
      </c>
      <c r="O11" s="16">
        <v>0.01</v>
      </c>
      <c r="P11" s="15">
        <f t="shared" ref="P11:P15" si="8">B11*O11*C11</f>
        <v>0</v>
      </c>
      <c r="Q11" s="16">
        <v>0.01</v>
      </c>
      <c r="R11" s="15">
        <f t="shared" si="2"/>
        <v>0</v>
      </c>
    </row>
    <row r="12" spans="1:18">
      <c r="A12" s="13" t="s">
        <v>24</v>
      </c>
      <c r="B12" s="14"/>
      <c r="C12" s="14"/>
      <c r="D12" s="15">
        <f t="shared" si="3"/>
        <v>0</v>
      </c>
      <c r="E12" s="14"/>
      <c r="F12" s="15">
        <f t="shared" si="4"/>
        <v>0</v>
      </c>
      <c r="G12" s="15"/>
      <c r="H12" s="15"/>
      <c r="I12" s="14">
        <v>2.5</v>
      </c>
      <c r="J12" s="15">
        <f t="shared" si="5"/>
        <v>0</v>
      </c>
      <c r="K12" s="14">
        <v>0.6</v>
      </c>
      <c r="L12" s="15">
        <f t="shared" si="6"/>
        <v>0</v>
      </c>
      <c r="M12" s="14">
        <v>0.2</v>
      </c>
      <c r="N12" s="14">
        <f t="shared" si="7"/>
        <v>0</v>
      </c>
      <c r="O12" s="16">
        <v>0.01</v>
      </c>
      <c r="P12" s="15">
        <f t="shared" si="8"/>
        <v>0</v>
      </c>
      <c r="Q12" s="16">
        <v>0.01</v>
      </c>
      <c r="R12" s="15">
        <f t="shared" si="2"/>
        <v>0</v>
      </c>
    </row>
    <row r="13" spans="1:18">
      <c r="A13" s="13" t="s">
        <v>21</v>
      </c>
      <c r="B13" s="14"/>
      <c r="C13" s="14"/>
      <c r="D13" s="15">
        <f t="shared" si="3"/>
        <v>0</v>
      </c>
      <c r="E13" s="14"/>
      <c r="F13" s="15">
        <f t="shared" si="4"/>
        <v>0</v>
      </c>
      <c r="G13" s="15"/>
      <c r="H13" s="15"/>
      <c r="I13" s="14">
        <v>1.3</v>
      </c>
      <c r="J13" s="15">
        <f t="shared" si="5"/>
        <v>0</v>
      </c>
      <c r="K13" s="14">
        <v>0.6</v>
      </c>
      <c r="L13" s="15">
        <f t="shared" si="6"/>
        <v>0</v>
      </c>
      <c r="M13" s="14"/>
      <c r="N13" s="14">
        <f t="shared" si="7"/>
        <v>0</v>
      </c>
      <c r="O13" s="16">
        <v>5.0000000000000001E-3</v>
      </c>
      <c r="P13" s="15">
        <f t="shared" si="8"/>
        <v>0</v>
      </c>
      <c r="Q13" s="16">
        <v>8.0000000000000002E-3</v>
      </c>
      <c r="R13" s="19">
        <f t="shared" si="2"/>
        <v>0</v>
      </c>
    </row>
    <row r="14" spans="1:18">
      <c r="A14" s="13" t="s">
        <v>25</v>
      </c>
      <c r="B14" s="14"/>
      <c r="C14" s="14"/>
      <c r="D14" s="15">
        <f t="shared" si="3"/>
        <v>0</v>
      </c>
      <c r="E14" s="14"/>
      <c r="F14" s="15">
        <f t="shared" si="4"/>
        <v>0</v>
      </c>
      <c r="G14" s="15"/>
      <c r="H14" s="15"/>
      <c r="I14" s="14">
        <v>1.8</v>
      </c>
      <c r="J14" s="15">
        <f t="shared" si="5"/>
        <v>0</v>
      </c>
      <c r="K14" s="14">
        <v>0.5</v>
      </c>
      <c r="L14" s="15">
        <f t="shared" si="6"/>
        <v>0</v>
      </c>
      <c r="M14" s="14">
        <v>0.2</v>
      </c>
      <c r="N14" s="14">
        <f t="shared" si="7"/>
        <v>0</v>
      </c>
      <c r="O14" s="16">
        <v>5.0000000000000001E-3</v>
      </c>
      <c r="P14" s="15">
        <f t="shared" si="8"/>
        <v>0</v>
      </c>
      <c r="Q14" s="16">
        <v>0.01</v>
      </c>
      <c r="R14" s="15">
        <f t="shared" si="2"/>
        <v>0</v>
      </c>
    </row>
    <row r="15" spans="1:18">
      <c r="A15" s="13" t="s">
        <v>26</v>
      </c>
      <c r="B15" s="14"/>
      <c r="C15" s="14"/>
      <c r="D15" s="15">
        <f t="shared" si="3"/>
        <v>0</v>
      </c>
      <c r="E15" s="14"/>
      <c r="F15" s="15">
        <f t="shared" si="4"/>
        <v>0</v>
      </c>
      <c r="G15" s="15"/>
      <c r="H15" s="15"/>
      <c r="I15" s="14">
        <v>0.6</v>
      </c>
      <c r="J15" s="15">
        <f t="shared" si="5"/>
        <v>0</v>
      </c>
      <c r="K15" s="14">
        <v>0.3</v>
      </c>
      <c r="L15" s="15">
        <f>B15*K15*C15</f>
        <v>0</v>
      </c>
      <c r="M15" s="14"/>
      <c r="N15" s="14">
        <f t="shared" si="7"/>
        <v>0</v>
      </c>
      <c r="O15" s="16"/>
      <c r="P15" s="15">
        <f t="shared" si="8"/>
        <v>0</v>
      </c>
      <c r="Q15" s="16">
        <v>3.0000000000000001E-3</v>
      </c>
      <c r="R15" s="15">
        <f t="shared" si="2"/>
        <v>0</v>
      </c>
    </row>
    <row r="16" spans="1:18">
      <c r="A16" s="13"/>
      <c r="B16" s="14"/>
      <c r="C16" s="14"/>
      <c r="D16" s="15"/>
      <c r="E16" s="14"/>
      <c r="F16" s="15"/>
      <c r="G16" s="15"/>
      <c r="H16" s="15"/>
      <c r="I16" s="14"/>
      <c r="J16" s="15"/>
      <c r="K16" s="14"/>
      <c r="L16" s="15"/>
      <c r="M16" s="14"/>
      <c r="N16" s="14"/>
      <c r="O16" s="16"/>
      <c r="P16" s="15"/>
      <c r="Q16" s="16"/>
      <c r="R16" s="15"/>
    </row>
    <row r="17" spans="1:18">
      <c r="A17" s="13"/>
      <c r="B17" s="14"/>
      <c r="C17" s="14"/>
      <c r="D17" s="15"/>
      <c r="E17" s="14"/>
      <c r="F17" s="15"/>
      <c r="G17" s="15"/>
      <c r="H17" s="15"/>
      <c r="I17" s="14"/>
      <c r="J17" s="15"/>
      <c r="K17" s="14"/>
      <c r="L17" s="15"/>
      <c r="M17" s="18"/>
      <c r="N17" s="14"/>
      <c r="O17" s="15"/>
      <c r="P17" s="15"/>
      <c r="Q17" s="15"/>
      <c r="R17" s="15"/>
    </row>
    <row r="18" spans="1:18">
      <c r="A18" s="14" t="s">
        <v>27</v>
      </c>
      <c r="B18" s="14">
        <f>SUM(B10:B17)</f>
        <v>0</v>
      </c>
      <c r="C18" s="14"/>
      <c r="D18" s="15">
        <f>SUM(D10:D17)</f>
        <v>0</v>
      </c>
      <c r="E18" s="15"/>
      <c r="F18" s="15">
        <f>SUM(F10:F17)</f>
        <v>0</v>
      </c>
      <c r="G18" s="15"/>
      <c r="H18" s="15"/>
      <c r="I18" s="15"/>
      <c r="J18" s="15">
        <f>SUM(J10:J17)</f>
        <v>0</v>
      </c>
      <c r="K18" s="15"/>
      <c r="L18" s="15">
        <f>SUM(L10:L17)</f>
        <v>0</v>
      </c>
      <c r="M18" s="15"/>
      <c r="N18" s="15">
        <f>SUM(N10:N17)</f>
        <v>0</v>
      </c>
      <c r="O18" s="15"/>
      <c r="P18" s="15">
        <f>SUM(P10:P17)</f>
        <v>0</v>
      </c>
      <c r="Q18" s="15"/>
      <c r="R18" s="15">
        <f>SUM(R10:R17)</f>
        <v>0</v>
      </c>
    </row>
    <row r="19" spans="1:18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8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11">
    <mergeCell ref="Q6:R7"/>
    <mergeCell ref="G6:H7"/>
    <mergeCell ref="O6:P7"/>
    <mergeCell ref="A7:A9"/>
    <mergeCell ref="B6:B8"/>
    <mergeCell ref="C6:C9"/>
    <mergeCell ref="D6:D8"/>
    <mergeCell ref="E6:F7"/>
    <mergeCell ref="I6:J7"/>
    <mergeCell ref="K6:L7"/>
    <mergeCell ref="M6:N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кормовой план июнь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Смирнов Сергей Евгеньевич</dc:creator>
  <cp:lastModifiedBy>Tim D2</cp:lastModifiedBy>
  <dcterms:created xsi:type="dcterms:W3CDTF">2015-11-10T06:34:21Z</dcterms:created>
  <dcterms:modified xsi:type="dcterms:W3CDTF">2026-07-13T01:54:16Z</dcterms:modified>
</cp:coreProperties>
</file>