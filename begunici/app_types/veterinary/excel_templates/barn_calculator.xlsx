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62dd3e63074367/Рабочий стол/Бегуницы/Стройка/"/>
    </mc:Choice>
  </mc:AlternateContent>
  <xr:revisionPtr revIDLastSave="10" documentId="8_{854F54F5-1CA6-47D7-920C-A3DF63791F4C}" xr6:coauthVersionLast="47" xr6:coauthVersionMax="47" xr10:uidLastSave="{4D6358FD-2FE7-42B8-9B11-C096A281F2C3}"/>
  <bookViews>
    <workbookView xWindow="-120" yWindow="-120" windowWidth="29040" windowHeight="15840" xr2:uid="{00000000-000D-0000-FFFF-FFFF00000000}"/>
  </bookViews>
  <sheets>
    <sheet name="1_Svodka" sheetId="1" r:id="rId1"/>
    <sheet name="2_Komponovka" sheetId="2" r:id="rId2"/>
    <sheet name="3_Normativy" sheetId="3" r:id="rId3"/>
  </sheets>
  <calcPr calcId="191029"/>
</workbook>
</file>

<file path=xl/calcChain.xml><?xml version="1.0" encoding="utf-8"?>
<calcChain xmlns="http://schemas.openxmlformats.org/spreadsheetml/2006/main">
  <c r="C57" i="1" l="1"/>
  <c r="F14" i="3"/>
  <c r="N14" i="2" s="1"/>
  <c r="C14" i="3"/>
  <c r="F13" i="3"/>
  <c r="E13" i="3"/>
  <c r="C13" i="3"/>
  <c r="F12" i="3"/>
  <c r="N12" i="2" s="1"/>
  <c r="E12" i="3"/>
  <c r="C12" i="3"/>
  <c r="M12" i="2" s="1"/>
  <c r="F11" i="3"/>
  <c r="N11" i="2" s="1"/>
  <c r="C11" i="3"/>
  <c r="M11" i="2" s="1"/>
  <c r="F10" i="3"/>
  <c r="N10" i="2" s="1"/>
  <c r="C10" i="3"/>
  <c r="M10" i="2" s="1"/>
  <c r="F9" i="3"/>
  <c r="N9" i="2" s="1"/>
  <c r="C9" i="3"/>
  <c r="F8" i="3"/>
  <c r="C8" i="3"/>
  <c r="F7" i="3"/>
  <c r="C7" i="3"/>
  <c r="M7" i="2" s="1"/>
  <c r="F6" i="3"/>
  <c r="N6" i="2" s="1"/>
  <c r="C6" i="3"/>
  <c r="M6" i="2" s="1"/>
  <c r="F5" i="3"/>
  <c r="N5" i="2" s="1"/>
  <c r="C5" i="3"/>
  <c r="M5" i="2" s="1"/>
  <c r="F4" i="3"/>
  <c r="N4" i="2" s="1"/>
  <c r="C4" i="3"/>
  <c r="M4" i="2" s="1"/>
  <c r="F3" i="3"/>
  <c r="N3" i="2" s="1"/>
  <c r="C3" i="3"/>
  <c r="F2" i="3"/>
  <c r="C2" i="3"/>
  <c r="C16" i="2"/>
  <c r="B16" i="2"/>
  <c r="O14" i="2"/>
  <c r="M14" i="2"/>
  <c r="L14" i="2"/>
  <c r="K14" i="2"/>
  <c r="I14" i="2"/>
  <c r="H14" i="2"/>
  <c r="J14" i="2" s="1"/>
  <c r="I58" i="1" s="1"/>
  <c r="E14" i="2"/>
  <c r="D14" i="2"/>
  <c r="E58" i="1" s="1"/>
  <c r="O13" i="2"/>
  <c r="N13" i="2"/>
  <c r="M13" i="2"/>
  <c r="I13" i="2"/>
  <c r="K13" i="2" s="1"/>
  <c r="H13" i="2"/>
  <c r="J13" i="2" s="1"/>
  <c r="I57" i="1" s="1"/>
  <c r="G13" i="2"/>
  <c r="F13" i="2"/>
  <c r="E13" i="2"/>
  <c r="D13" i="2"/>
  <c r="E57" i="1" s="1"/>
  <c r="O12" i="2"/>
  <c r="L12" i="2"/>
  <c r="I12" i="2"/>
  <c r="K12" i="2" s="1"/>
  <c r="H12" i="2"/>
  <c r="J12" i="2" s="1"/>
  <c r="I56" i="1" s="1"/>
  <c r="O11" i="2"/>
  <c r="L11" i="2"/>
  <c r="I11" i="2"/>
  <c r="K11" i="2" s="1"/>
  <c r="H11" i="2"/>
  <c r="J11" i="2" s="1"/>
  <c r="I55" i="1" s="1"/>
  <c r="O10" i="2"/>
  <c r="I10" i="2"/>
  <c r="K10" i="2" s="1"/>
  <c r="H10" i="2"/>
  <c r="J10" i="2" s="1"/>
  <c r="O9" i="2"/>
  <c r="M9" i="2"/>
  <c r="L9" i="2"/>
  <c r="I9" i="2"/>
  <c r="K9" i="2" s="1"/>
  <c r="H9" i="2"/>
  <c r="J9" i="2" s="1"/>
  <c r="E9" i="2"/>
  <c r="D9" i="2"/>
  <c r="E53" i="1" s="1"/>
  <c r="O8" i="2"/>
  <c r="N8" i="2"/>
  <c r="M8" i="2"/>
  <c r="L8" i="2"/>
  <c r="I8" i="2"/>
  <c r="K8" i="2" s="1"/>
  <c r="H8" i="2"/>
  <c r="J8" i="2" s="1"/>
  <c r="I52" i="1" s="1"/>
  <c r="G8" i="2"/>
  <c r="F8" i="2"/>
  <c r="E8" i="2"/>
  <c r="D8" i="2"/>
  <c r="O7" i="2"/>
  <c r="N7" i="2"/>
  <c r="L7" i="2"/>
  <c r="I7" i="2"/>
  <c r="K7" i="2" s="1"/>
  <c r="H7" i="2"/>
  <c r="J7" i="2" s="1"/>
  <c r="I51" i="1" s="1"/>
  <c r="G7" i="2"/>
  <c r="H51" i="1" s="1"/>
  <c r="F7" i="2"/>
  <c r="G51" i="1" s="1"/>
  <c r="O6" i="2"/>
  <c r="I6" i="2"/>
  <c r="K6" i="2" s="1"/>
  <c r="H6" i="2"/>
  <c r="O5" i="2"/>
  <c r="L5" i="2"/>
  <c r="I5" i="2"/>
  <c r="K5" i="2" s="1"/>
  <c r="H5" i="2"/>
  <c r="J5" i="2" s="1"/>
  <c r="I49" i="1" s="1"/>
  <c r="O4" i="2"/>
  <c r="L4" i="2"/>
  <c r="I4" i="2"/>
  <c r="K4" i="2" s="1"/>
  <c r="H4" i="2"/>
  <c r="J4" i="2" s="1"/>
  <c r="I48" i="1" s="1"/>
  <c r="O3" i="2"/>
  <c r="M3" i="2"/>
  <c r="L3" i="2"/>
  <c r="I3" i="2"/>
  <c r="K3" i="2" s="1"/>
  <c r="H3" i="2"/>
  <c r="J3" i="2" s="1"/>
  <c r="I47" i="1" s="1"/>
  <c r="E3" i="2"/>
  <c r="F47" i="1" s="1"/>
  <c r="D3" i="2"/>
  <c r="E47" i="1" s="1"/>
  <c r="O2" i="2"/>
  <c r="N2" i="2"/>
  <c r="M2" i="2"/>
  <c r="L2" i="2"/>
  <c r="I2" i="2"/>
  <c r="K2" i="2" s="1"/>
  <c r="H2" i="2"/>
  <c r="G2" i="2"/>
  <c r="F2" i="2"/>
  <c r="E2" i="2"/>
  <c r="D2" i="2"/>
  <c r="E46" i="1" s="1"/>
  <c r="C59" i="1"/>
  <c r="B59" i="1"/>
  <c r="F58" i="1"/>
  <c r="D58" i="1"/>
  <c r="C58" i="1"/>
  <c r="B58" i="1"/>
  <c r="A58" i="1"/>
  <c r="H57" i="1"/>
  <c r="G57" i="1"/>
  <c r="F57" i="1"/>
  <c r="D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F53" i="1"/>
  <c r="D53" i="1"/>
  <c r="C53" i="1"/>
  <c r="B53" i="1"/>
  <c r="A53" i="1"/>
  <c r="H52" i="1"/>
  <c r="G52" i="1"/>
  <c r="F52" i="1"/>
  <c r="E52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D59" i="1" s="1"/>
  <c r="C47" i="1"/>
  <c r="B47" i="1"/>
  <c r="A47" i="1"/>
  <c r="H46" i="1"/>
  <c r="G46" i="1"/>
  <c r="F46" i="1"/>
  <c r="D46" i="1"/>
  <c r="C46" i="1"/>
  <c r="B46" i="1"/>
  <c r="A46" i="1"/>
  <c r="B27" i="1"/>
  <c r="B24" i="1"/>
  <c r="B23" i="1"/>
  <c r="B22" i="1"/>
  <c r="B19" i="1"/>
  <c r="B20" i="1" s="1"/>
  <c r="B21" i="1" s="1"/>
  <c r="B18" i="1"/>
  <c r="K16" i="2" l="1"/>
  <c r="G8" i="1" s="1"/>
  <c r="G10" i="1" s="1"/>
  <c r="B35" i="1" s="1"/>
  <c r="B36" i="1" s="1"/>
  <c r="B37" i="1" s="1"/>
  <c r="I54" i="1"/>
  <c r="H16" i="2"/>
  <c r="L10" i="2"/>
  <c r="E5" i="2"/>
  <c r="F49" i="1" s="1"/>
  <c r="D5" i="2"/>
  <c r="E49" i="1" s="1"/>
  <c r="E11" i="2"/>
  <c r="F55" i="1" s="1"/>
  <c r="D11" i="2"/>
  <c r="E55" i="1" s="1"/>
  <c r="G5" i="2"/>
  <c r="H49" i="1" s="1"/>
  <c r="F5" i="2"/>
  <c r="G49" i="1" s="1"/>
  <c r="G11" i="2"/>
  <c r="H55" i="1" s="1"/>
  <c r="F11" i="2"/>
  <c r="G55" i="1" s="1"/>
  <c r="E12" i="2"/>
  <c r="F56" i="1" s="1"/>
  <c r="D12" i="2"/>
  <c r="E56" i="1" s="1"/>
  <c r="G6" i="2"/>
  <c r="H50" i="1" s="1"/>
  <c r="F6" i="2"/>
  <c r="G50" i="1" s="1"/>
  <c r="E10" i="2"/>
  <c r="F54" i="1" s="1"/>
  <c r="D10" i="2"/>
  <c r="E54" i="1" s="1"/>
  <c r="E7" i="2"/>
  <c r="F51" i="1" s="1"/>
  <c r="D7" i="2"/>
  <c r="E51" i="1" s="1"/>
  <c r="G10" i="2"/>
  <c r="H54" i="1" s="1"/>
  <c r="F10" i="2"/>
  <c r="G54" i="1" s="1"/>
  <c r="E6" i="2"/>
  <c r="F50" i="1" s="1"/>
  <c r="D6" i="2"/>
  <c r="E50" i="1" s="1"/>
  <c r="G12" i="2"/>
  <c r="H56" i="1" s="1"/>
  <c r="F12" i="2"/>
  <c r="G56" i="1" s="1"/>
  <c r="G4" i="2"/>
  <c r="H48" i="1" s="1"/>
  <c r="F4" i="2"/>
  <c r="G48" i="1" s="1"/>
  <c r="I53" i="1"/>
  <c r="E4" i="2"/>
  <c r="F48" i="1" s="1"/>
  <c r="F59" i="1" s="1"/>
  <c r="D4" i="2"/>
  <c r="E48" i="1" s="1"/>
  <c r="E16" i="2"/>
  <c r="B28" i="1" s="1"/>
  <c r="B29" i="1" s="1"/>
  <c r="G3" i="2"/>
  <c r="H47" i="1" s="1"/>
  <c r="F3" i="2"/>
  <c r="G47" i="1" s="1"/>
  <c r="G9" i="2"/>
  <c r="H53" i="1" s="1"/>
  <c r="F9" i="2"/>
  <c r="G53" i="1" s="1"/>
  <c r="G14" i="2"/>
  <c r="H58" i="1" s="1"/>
  <c r="F14" i="2"/>
  <c r="G58" i="1" s="1"/>
  <c r="J2" i="2"/>
  <c r="J6" i="2"/>
  <c r="I50" i="1" s="1"/>
  <c r="I16" i="2"/>
  <c r="L13" i="2"/>
  <c r="H59" i="1" l="1"/>
  <c r="G59" i="1"/>
  <c r="E59" i="1"/>
  <c r="D16" i="2"/>
  <c r="B25" i="1" s="1"/>
  <c r="B26" i="1" s="1"/>
  <c r="G16" i="2"/>
  <c r="B38" i="1" s="1"/>
  <c r="B39" i="1" s="1"/>
  <c r="L6" i="2"/>
  <c r="J16" i="2"/>
  <c r="G7" i="1" s="1"/>
  <c r="G9" i="1" s="1"/>
  <c r="B30" i="1" s="1"/>
  <c r="I46" i="1"/>
  <c r="F16" i="2"/>
  <c r="B33" i="1" s="1"/>
  <c r="I59" i="1" l="1"/>
  <c r="B31" i="1"/>
  <c r="B32" i="1" s="1"/>
  <c r="B34" i="1" s="1"/>
  <c r="B40" i="1" s="1"/>
</calcChain>
</file>

<file path=xl/sharedStrings.xml><?xml version="1.0" encoding="utf-8"?>
<sst xmlns="http://schemas.openxmlformats.org/spreadsheetml/2006/main" count="222" uniqueCount="161">
  <si>
    <t>Калькулятор компоновки одной овчарни по НТП-АПК</t>
  </si>
  <si>
    <t>Входные параметры — желтые поля задаются вручную</t>
  </si>
  <si>
    <t>Порода / направление</t>
  </si>
  <si>
    <t>каракульское и мясо-сальное</t>
  </si>
  <si>
    <t>фиксировано</t>
  </si>
  <si>
    <t>Колонка НТП-АПК, табл. 9</t>
  </si>
  <si>
    <t>Расчет</t>
  </si>
  <si>
    <t>племенное поголовье</t>
  </si>
  <si>
    <t>К нормам площади применяется надбавка(указывается в строке 12)</t>
  </si>
  <si>
    <t>Лимит площади одного здания, м²</t>
  </si>
  <si>
    <t>ручной ввод</t>
  </si>
  <si>
    <t>Проектное ограничение по метражу</t>
  </si>
  <si>
    <t>Длина овчарни L, м</t>
  </si>
  <si>
    <t>Это же и длина кормовой линии до вычета дверей</t>
  </si>
  <si>
    <t>Ширина центрального кормового проезда, м</t>
  </si>
  <si>
    <t>Задается по применяемой технике(предаврительно ширина К13 2,6 с запасом)</t>
  </si>
  <si>
    <t>Учитывать техпроходы вдоль наружных стен?</t>
  </si>
  <si>
    <t>По одному продольному проходу с каждой стороны</t>
  </si>
  <si>
    <t>Ширина одного техпрохода вдоль стены, м</t>
  </si>
  <si>
    <t>При «0» не участвует в расчете</t>
  </si>
  <si>
    <t>Ширина зоны содержания овец с каждой стороны, м</t>
  </si>
  <si>
    <t>Одинаковая ширина слева и справа (обсуждалось 4 метра оптимальная ширина)</t>
  </si>
  <si>
    <t>Надбавка площади для племенных животных</t>
  </si>
  <si>
    <t>До 20% по табл. 9, прим. 1</t>
  </si>
  <si>
    <t>Дверей на одну секцию, шт.</t>
  </si>
  <si>
    <t>Без учета пожарных требований(по требованиям там идет 1 дверь на 100 голов РД-АПК 1.10.03.02-12) - лучше проверить отдельно</t>
  </si>
  <si>
    <t>Ширина одной двери, м</t>
  </si>
  <si>
    <t>Все двери выходят в центральный кормовой проход(то есть фронт уменьшается)</t>
  </si>
  <si>
    <t>Режим кормления откормочного поголовья</t>
  </si>
  <si>
    <t>Нормированное кормление (1 голова на место)</t>
  </si>
  <si>
    <t>По п. 7.3 НТП-АПК (только для откормочного молодняка и взрослых)</t>
  </si>
  <si>
    <t>Расчетные показатели одной овчарни</t>
  </si>
  <si>
    <t>Максимальная ширина здания по лимиту, м</t>
  </si>
  <si>
    <t>лимит / длина</t>
  </si>
  <si>
    <t>Расчетная общая ширина здания, м</t>
  </si>
  <si>
    <t>центр + 2 зоны + 2 техпрохода</t>
  </si>
  <si>
    <t>Расчетная площадь здания, м²</t>
  </si>
  <si>
    <t>длина × расчетная ширина</t>
  </si>
  <si>
    <t>Запас (+) / превышение (−) лимита, м²</t>
  </si>
  <si>
    <t>лимит − расчетная площадь</t>
  </si>
  <si>
    <t>Площадь центрального прохода, м²</t>
  </si>
  <si>
    <t>L × ширина центра</t>
  </si>
  <si>
    <t>Площадь двух техпроходов вдоль стен, м²</t>
  </si>
  <si>
    <t>только продольные полосы</t>
  </si>
  <si>
    <t>Доступная площадь содержания слева, м²</t>
  </si>
  <si>
    <t>L × ширина зоны слева</t>
  </si>
  <si>
    <t>Занятая площадь слева, м²</t>
  </si>
  <si>
    <t>сумма групп слева</t>
  </si>
  <si>
    <t>Остаток площади слева, м²</t>
  </si>
  <si>
    <t>доступно − занято</t>
  </si>
  <si>
    <t>Доступная площадь содержания справа, м²</t>
  </si>
  <si>
    <t>L × ширина зоны справа</t>
  </si>
  <si>
    <t>Занятая площадь справа, м²</t>
  </si>
  <si>
    <t>сумма групп справа</t>
  </si>
  <si>
    <t>Остаток площади справа, м²</t>
  </si>
  <si>
    <t>Вычет из кормовой линии слева, м</t>
  </si>
  <si>
    <t>двери × ширина двери</t>
  </si>
  <si>
    <t>Полезный фронт кормления слева, м</t>
  </si>
  <si>
    <t>L − дверные проемы</t>
  </si>
  <si>
    <t>Требуемый фронт кормления слева, м</t>
  </si>
  <si>
    <t>сумма по группам</t>
  </si>
  <si>
    <t>Остаток фронта слева, м</t>
  </si>
  <si>
    <t>полезный − требуемый</t>
  </si>
  <si>
    <t>Вычет из кормовой линии справа, м</t>
  </si>
  <si>
    <t>Полезный фронт кормления справа, м</t>
  </si>
  <si>
    <t>Требуемый фронт кормления справа, м</t>
  </si>
  <si>
    <t>Остаток фронта справа, м</t>
  </si>
  <si>
    <t>Итоговый статус</t>
  </si>
  <si>
    <t>площадь здания + обе стороны + оба фронта</t>
  </si>
  <si>
    <t>Группа</t>
  </si>
  <si>
    <t>Голов слева</t>
  </si>
  <si>
    <t>Голов справа</t>
  </si>
  <si>
    <t>Всего</t>
  </si>
  <si>
    <t>Площадь слева, м²</t>
  </si>
  <si>
    <t>Площадь справа, м²</t>
  </si>
  <si>
    <t>Фронт слева, м</t>
  </si>
  <si>
    <t>Фронт справа, м</t>
  </si>
  <si>
    <t>ИТОГО</t>
  </si>
  <si>
    <t>Пожарно-эвакуационная проверка в калькулятор не включена. Число дверей определяется только числом секций и заданным количеством дверей на секцию. Все дверные проемы вычитаются из кормовой линии, поскольку выходят в центральный кормовой проход.</t>
  </si>
  <si>
    <t>Группа животных</t>
  </si>
  <si>
    <t>Треб. фронт слева, м</t>
  </si>
  <si>
    <t>Треб. фронт справа, м</t>
  </si>
  <si>
    <t>Секций слева</t>
  </si>
  <si>
    <t>Секций справа</t>
  </si>
  <si>
    <t>Комментарий</t>
  </si>
  <si>
    <t>Плем. норма, м²/гол.</t>
  </si>
  <si>
    <t>Фронт, м/гол.</t>
  </si>
  <si>
    <t>Макс. секция, гол.</t>
  </si>
  <si>
    <t>Бараны-производители</t>
  </si>
  <si>
    <t>Бараны-пробники</t>
  </si>
  <si>
    <t>Матки холостые</t>
  </si>
  <si>
    <t>Матки суягные</t>
  </si>
  <si>
    <t>Матки подсосные с ягнятами до 10 дней</t>
  </si>
  <si>
    <t>Матки подсосные старше 10 дней, зимнее ягнение</t>
  </si>
  <si>
    <t>Матки подсосные старше 10 дней, весеннее ягнение</t>
  </si>
  <si>
    <t>Ремонтный молодняк</t>
  </si>
  <si>
    <t>Ягнята до 45 дней</t>
  </si>
  <si>
    <t>Ягнята старше 45 дней до 4 месяцев</t>
  </si>
  <si>
    <t>Откормочное поголовье взрослое</t>
  </si>
  <si>
    <t>Откормочное поголовье молодняк</t>
  </si>
  <si>
    <t>Валухи</t>
  </si>
  <si>
    <t>Пример: 600 племенных маток, разбиты по двум сторонам+ сделана секция для откормочного молодняка справа, на странице Сводка такая компоновка не пройдет, т к фронта кормления на молодняк не хватит+можно проверить нормы кормления ив Сводке поставить 2 головы на фронт, размер стола уменьшится</t>
  </si>
  <si>
    <t>Базовая площадь, м²/гол.</t>
  </si>
  <si>
    <t>Племенная площадь, м²/гол.</t>
  </si>
  <si>
    <t>Базовый фронт, м/гол.</t>
  </si>
  <si>
    <t>Коэф. доступа к корму</t>
  </si>
  <si>
    <t>Расчетный фронт, м/гол.</t>
  </si>
  <si>
    <t>Макс. животных в секции</t>
  </si>
  <si>
    <t>Основание НТП-АПК</t>
  </si>
  <si>
    <t>табл. 9; табл. 10; п. 4.4</t>
  </si>
  <si>
    <t>Секция до 25 голов</t>
  </si>
  <si>
    <t>Секция до 50 голов</t>
  </si>
  <si>
    <t>Для маток в НТП 0,3–0,4 м/гол.; принято 0,3</t>
  </si>
  <si>
    <t>Секция до 120 голов</t>
  </si>
  <si>
    <t>Секция до 250 голов</t>
  </si>
  <si>
    <t>табл. 9; табл. 10; п. 7.3; п. 4.4</t>
  </si>
  <si>
    <t>При свободном доступе — 2 овцы на 1 кормовое место</t>
  </si>
  <si>
    <t>табл. 9; табл. 10</t>
  </si>
  <si>
    <t>Размер секции 250 принят по аналогии с откормочным поголовьем</t>
  </si>
  <si>
    <t>Формулы и принятая логика</t>
  </si>
  <si>
    <t>Площадь здания</t>
  </si>
  <si>
    <t>L × (центральный проход + 2 зоны содержания + 2 технических прохода, если они включены).</t>
  </si>
  <si>
    <t>Площадь содержания</t>
  </si>
  <si>
    <t>Для каждой стороны отдельно: L × заданная ширина зоны содержания.</t>
  </si>
  <si>
    <t>Племенная площадь</t>
  </si>
  <si>
    <t>Базовая норма × (1 + надбавка для племенного поголовья).</t>
  </si>
  <si>
    <t>Секции</t>
  </si>
  <si>
    <t>Количество секций = округление вверх: поголовье / максимальное число животных в секции.</t>
  </si>
  <si>
    <t>Двери</t>
  </si>
  <si>
    <t>Количество дверей = число секций × заданное число дверей на секцию. Все двери выходят в центральный кормовой проход.</t>
  </si>
  <si>
    <t>Полезный фронт кормления</t>
  </si>
  <si>
    <t>L − суммарная ширина дверных проемов на соответствующей стороне.</t>
  </si>
  <si>
    <t>Свободный доступ к корму</t>
  </si>
  <si>
    <t>Для откормочного поголовья при выбранном свободном доступе расчетный фронт делится на 2: две овцы на одно кормовое место по п. 7.3.</t>
  </si>
  <si>
    <t>Нормативная основа</t>
  </si>
  <si>
    <t xml:space="preserve">НТП-АПК 1.10.03.001-00 «Нормы технологического проектирования овцеводческих предприятий». Использованы: п. 4.4; табл. 9 и примечания; табл. 10; п. 7.3. </t>
  </si>
  <si>
    <t xml:space="preserve">Электронная копия: </t>
  </si>
  <si>
    <t>http://files.stroyinf.ru/Data2/1/4294846/4294846504.htm</t>
  </si>
  <si>
    <t>Пример: Есть вопрос по "габаритам" туш при кормлении, Наталия при выборе весов говорила, что 600 в ширину может быть мало, так как тогда животные могут друг к другу встать при кормлении с учетом норм АПК?</t>
  </si>
  <si>
    <t>Настройка способа учета дверей</t>
  </si>
  <si>
    <t>Режим расчета дверей</t>
  </si>
  <si>
    <t>1 — число секций × дверей на секцию; 2 — фиксированное число отдельно слева и справа</t>
  </si>
  <si>
    <t>Фиксированное число дверей слева, шт.</t>
  </si>
  <si>
    <t>Используется только в режиме 2</t>
  </si>
  <si>
    <t>Фиксированное число дверей справа, шт.</t>
  </si>
  <si>
    <t>Расчет по секциям слева, шт.</t>
  </si>
  <si>
    <t>автоматически</t>
  </si>
  <si>
    <t>Справочно: сумма дверей по группам и секциям</t>
  </si>
  <si>
    <t>Расчет по секциям справа, шт.</t>
  </si>
  <si>
    <t>Используется в расчете слева, шт.</t>
  </si>
  <si>
    <t>Итоговое число дверей по выбранному режиму</t>
  </si>
  <si>
    <t>Используется в расчете справа, шт.</t>
  </si>
  <si>
    <t>Используемое число дверей слева, шт.</t>
  </si>
  <si>
    <t>по выбранному режиму</t>
  </si>
  <si>
    <t>Используемое число дверей справа, шт.</t>
  </si>
  <si>
    <t>Двери Л / П</t>
  </si>
  <si>
    <t>Дверей по секциям слева</t>
  </si>
  <si>
    <t>Дверей по секциям справа</t>
  </si>
  <si>
    <t>Двери по строкам рассчитываются как количество секций × число дверей на секцию. На листе «1_Svodka» можно выбрать другой режим — фиксированное число дверей отдельно для левой и правой стороны. В итоговом кормовом фронте используются именно значения из выбранного режима; все двери выходят в центральный кормовой проход.</t>
  </si>
  <si>
    <t>Нет</t>
  </si>
  <si>
    <t>2 — фиксированное число по сторонам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</si>
</sst>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465452"/>
      <name val="Carlito"/>
    </font>
    <font>
      <i/>
      <sz val="11"/>
      <color rgb="FF5A3325"/>
      <name val="Carlito"/>
    </font>
    <font>
      <b/>
      <sz val="14"/>
      <color rgb="FFFFFFFF"/>
      <name val="Carlito"/>
    </font>
    <font>
      <b/>
      <sz val="11"/>
      <color rgb="FF1F2D2B"/>
      <name val="Carlito"/>
    </font>
    <font>
      <i/>
      <sz val="11"/>
      <color rgb="FF596563"/>
      <name val="Carlito"/>
    </font>
    <font>
      <sz val="11"/>
      <name val="Carlito"/>
    </font>
    <font>
      <sz val="11"/>
      <color theme="10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5B53"/>
      </patternFill>
    </fill>
    <fill>
      <patternFill patternType="solid">
        <fgColor rgb="FFDDEDD8"/>
      </patternFill>
    </fill>
    <fill>
      <patternFill patternType="solid">
        <fgColor rgb="FFE7ECEB"/>
      </patternFill>
    </fill>
    <fill>
      <patternFill patternType="solid">
        <fgColor rgb="FFFFF1C9"/>
      </patternFill>
    </fill>
    <fill>
      <patternFill patternType="solid">
        <fgColor rgb="FFFCE4D6"/>
      </patternFill>
    </fill>
    <fill>
      <patternFill patternType="solid">
        <fgColor rgb="FFEEF6EC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0F5B53"/>
      </patternFill>
    </fill>
    <fill>
      <patternFill patternType="solid">
        <fgColor rgb="FFFFF1C9"/>
      </patternFill>
    </fill>
    <fill>
      <patternFill patternType="solid">
        <fgColor rgb="FFEEF6E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64" fontId="0" fillId="0" borderId="0" xfId="1" applyNumberFormat="1" applyFont="1"/>
    <xf numFmtId="1" fontId="0" fillId="0" borderId="0" xfId="1" applyNumberFormat="1" applyFont="1"/>
    <xf numFmtId="0" fontId="0" fillId="0" borderId="0" xfId="1" applyFont="1" applyAlignment="1">
      <alignment wrapText="1"/>
    </xf>
    <xf numFmtId="0" fontId="2" fillId="3" borderId="0" xfId="1" applyFont="1" applyFill="1"/>
    <xf numFmtId="0" fontId="2" fillId="0" borderId="0" xfId="1" applyFont="1" applyAlignment="1">
      <alignment wrapText="1"/>
    </xf>
    <xf numFmtId="0" fontId="0" fillId="5" borderId="0" xfId="1" applyFont="1" applyFill="1"/>
    <xf numFmtId="1" fontId="0" fillId="5" borderId="0" xfId="1" applyNumberFormat="1" applyFont="1" applyFill="1"/>
    <xf numFmtId="2" fontId="0" fillId="0" borderId="0" xfId="1" applyNumberFormat="1" applyFont="1"/>
    <xf numFmtId="2" fontId="2" fillId="3" borderId="0" xfId="1" applyNumberFormat="1" applyFont="1" applyFill="1"/>
    <xf numFmtId="1" fontId="2" fillId="3" borderId="0" xfId="1" applyNumberFormat="1" applyFont="1" applyFill="1"/>
    <xf numFmtId="0" fontId="0" fillId="0" borderId="0" xfId="1" applyFont="1" applyAlignment="1">
      <alignment vertical="center"/>
    </xf>
    <xf numFmtId="2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2" fillId="3" borderId="0" xfId="1" applyFont="1" applyFill="1" applyAlignment="1">
      <alignment vertical="center"/>
    </xf>
    <xf numFmtId="2" fontId="2" fillId="3" borderId="0" xfId="1" applyNumberFormat="1" applyFont="1" applyFill="1" applyAlignment="1">
      <alignment vertical="center"/>
    </xf>
    <xf numFmtId="1" fontId="2" fillId="3" borderId="0" xfId="1" applyNumberFormat="1" applyFont="1" applyFill="1" applyAlignment="1">
      <alignment vertical="center"/>
    </xf>
    <xf numFmtId="0" fontId="0" fillId="0" borderId="0" xfId="1" applyFont="1" applyAlignment="1">
      <alignment vertical="center" wrapText="1"/>
    </xf>
    <xf numFmtId="0" fontId="7" fillId="0" borderId="0" xfId="1" applyFont="1"/>
    <xf numFmtId="2" fontId="0" fillId="5" borderId="0" xfId="1" applyNumberFormat="1" applyFont="1" applyFill="1"/>
    <xf numFmtId="9" fontId="0" fillId="5" borderId="0" xfId="1" applyNumberFormat="1" applyFont="1" applyFill="1"/>
    <xf numFmtId="2" fontId="0" fillId="7" borderId="0" xfId="1" applyNumberFormat="1" applyFont="1" applyFill="1"/>
    <xf numFmtId="1" fontId="0" fillId="7" borderId="0" xfId="1" applyNumberFormat="1" applyFont="1" applyFill="1"/>
    <xf numFmtId="0" fontId="2" fillId="7" borderId="0" xfId="1" applyFont="1" applyFill="1"/>
    <xf numFmtId="0" fontId="9" fillId="0" borderId="0" xfId="2"/>
    <xf numFmtId="0" fontId="10" fillId="8" borderId="0" xfId="1" applyFont="1" applyFill="1" applyAlignment="1">
      <alignment wrapText="1"/>
    </xf>
    <xf numFmtId="1" fontId="0" fillId="5" borderId="1" xfId="1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10" borderId="0" xfId="0" applyFill="1" applyAlignment="1">
      <alignment vertical="center"/>
    </xf>
    <xf numFmtId="0" fontId="7" fillId="0" borderId="0" xfId="0" applyFont="1" applyAlignment="1">
      <alignment vertical="center"/>
    </xf>
    <xf numFmtId="1" fontId="0" fillId="10" borderId="0" xfId="0" applyNumberFormat="1" applyFill="1" applyAlignment="1">
      <alignment vertical="center"/>
    </xf>
    <xf numFmtId="1" fontId="0" fillId="11" borderId="0" xfId="0" applyNumberForma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6" fillId="3" borderId="0" xfId="1" applyFont="1" applyFill="1"/>
    <xf numFmtId="0" fontId="4" fillId="6" borderId="0" xfId="1" applyFont="1" applyFill="1" applyAlignment="1">
      <alignment vertical="center" wrapText="1"/>
    </xf>
    <xf numFmtId="0" fontId="1" fillId="9" borderId="0" xfId="0" applyFont="1" applyFill="1" applyAlignment="1">
      <alignment horizontal="center" vertical="center"/>
    </xf>
    <xf numFmtId="0" fontId="2" fillId="3" borderId="0" xfId="1" applyFont="1" applyFill="1"/>
    <xf numFmtId="0" fontId="2" fillId="4" borderId="0" xfId="1" applyFont="1" applyFill="1"/>
    <xf numFmtId="0" fontId="3" fillId="0" borderId="0" xfId="1" applyFont="1" applyAlignment="1">
      <alignment vertical="center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2">
    <dxf>
      <font>
        <b/>
        <color rgb="FF9C0006"/>
      </font>
      <fill>
        <patternFill>
          <bgColor rgb="FFF8D7DA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8D7DA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8D7DA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8D7DA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8D7DA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zoomScale="145" zoomScaleNormal="145" workbookViewId="0">
      <selection activeCell="B20" sqref="B20"/>
    </sheetView>
  </sheetViews>
  <sheetFormatPr defaultRowHeight="15" x14ac:dyDescent="0.25"/>
  <cols>
    <col min="1" max="1" width="44" customWidth="1"/>
    <col min="2" max="2" width="25" customWidth="1"/>
    <col min="3" max="3" width="20" customWidth="1"/>
    <col min="4" max="4" width="48" customWidth="1"/>
    <col min="5" max="5" width="16" customWidth="1"/>
    <col min="6" max="6" width="37" customWidth="1"/>
    <col min="7" max="7" width="25" customWidth="1"/>
    <col min="8" max="8" width="17" customWidth="1"/>
    <col min="9" max="9" width="48" customWidth="1"/>
  </cols>
  <sheetData>
    <row r="1" spans="1:9" ht="30" customHeight="1" x14ac:dyDescent="0.25">
      <c r="A1" s="34" t="s">
        <v>0</v>
      </c>
      <c r="B1" s="34"/>
      <c r="C1" s="34"/>
      <c r="D1" s="34"/>
    </row>
    <row r="3" spans="1:9" ht="24" customHeight="1" x14ac:dyDescent="0.25">
      <c r="A3" s="35" t="s">
        <v>1</v>
      </c>
      <c r="B3" s="35"/>
      <c r="C3" s="35"/>
      <c r="D3" s="35"/>
      <c r="F3" s="37" t="s">
        <v>139</v>
      </c>
      <c r="G3" s="37"/>
      <c r="H3" s="37"/>
      <c r="I3" s="37"/>
    </row>
    <row r="4" spans="1:9" ht="30" x14ac:dyDescent="0.25">
      <c r="A4" t="s">
        <v>2</v>
      </c>
      <c r="B4" s="7" t="s">
        <v>3</v>
      </c>
      <c r="C4" s="20" t="s">
        <v>4</v>
      </c>
      <c r="D4" s="4" t="s">
        <v>5</v>
      </c>
      <c r="F4" s="29" t="s">
        <v>140</v>
      </c>
      <c r="G4" s="30" t="s">
        <v>160</v>
      </c>
      <c r="H4" s="31" t="s">
        <v>10</v>
      </c>
      <c r="I4" s="29" t="s">
        <v>141</v>
      </c>
    </row>
    <row r="5" spans="1:9" ht="30" x14ac:dyDescent="0.25">
      <c r="A5" t="s">
        <v>6</v>
      </c>
      <c r="B5" s="7" t="s">
        <v>7</v>
      </c>
      <c r="C5" s="20" t="s">
        <v>4</v>
      </c>
      <c r="D5" s="4" t="s">
        <v>8</v>
      </c>
      <c r="F5" s="29" t="s">
        <v>142</v>
      </c>
      <c r="G5" s="32">
        <v>3</v>
      </c>
      <c r="H5" s="31" t="s">
        <v>10</v>
      </c>
      <c r="I5" s="29" t="s">
        <v>143</v>
      </c>
    </row>
    <row r="6" spans="1:9" x14ac:dyDescent="0.25">
      <c r="A6" t="s">
        <v>9</v>
      </c>
      <c r="B6" s="21">
        <v>1500</v>
      </c>
      <c r="C6" s="20" t="s">
        <v>10</v>
      </c>
      <c r="D6" s="4" t="s">
        <v>11</v>
      </c>
      <c r="F6" s="29" t="s">
        <v>144</v>
      </c>
      <c r="G6" s="32">
        <v>5</v>
      </c>
      <c r="H6" s="31" t="s">
        <v>10</v>
      </c>
      <c r="I6" s="29" t="s">
        <v>143</v>
      </c>
    </row>
    <row r="7" spans="1:9" x14ac:dyDescent="0.25">
      <c r="A7" t="s">
        <v>12</v>
      </c>
      <c r="B7" s="21">
        <v>140</v>
      </c>
      <c r="C7" s="20" t="s">
        <v>10</v>
      </c>
      <c r="D7" s="4" t="s">
        <v>13</v>
      </c>
      <c r="F7" s="29" t="s">
        <v>145</v>
      </c>
      <c r="G7" s="33">
        <f>'2_Komponovka'!J16</f>
        <v>15</v>
      </c>
      <c r="H7" s="31" t="s">
        <v>146</v>
      </c>
      <c r="I7" s="29" t="s">
        <v>147</v>
      </c>
    </row>
    <row r="8" spans="1:9" ht="30" x14ac:dyDescent="0.25">
      <c r="A8" t="s">
        <v>14</v>
      </c>
      <c r="B8" s="21">
        <v>2.6</v>
      </c>
      <c r="C8" s="20" t="s">
        <v>10</v>
      </c>
      <c r="D8" s="4" t="s">
        <v>15</v>
      </c>
      <c r="F8" s="29" t="s">
        <v>148</v>
      </c>
      <c r="G8" s="33">
        <f>'2_Komponovka'!K16</f>
        <v>15</v>
      </c>
      <c r="H8" s="31" t="s">
        <v>146</v>
      </c>
      <c r="I8" s="29" t="s">
        <v>147</v>
      </c>
    </row>
    <row r="9" spans="1:9" x14ac:dyDescent="0.25">
      <c r="A9" t="s">
        <v>16</v>
      </c>
      <c r="B9" s="21" t="s">
        <v>159</v>
      </c>
      <c r="C9" s="20" t="s">
        <v>10</v>
      </c>
      <c r="D9" s="4" t="s">
        <v>17</v>
      </c>
      <c r="F9" s="29" t="s">
        <v>149</v>
      </c>
      <c r="G9" s="33">
        <f>IF(G4="2 — фиксированное число по сторонам",G5,G7)</f>
        <v>3</v>
      </c>
      <c r="H9" s="31" t="s">
        <v>146</v>
      </c>
      <c r="I9" s="29" t="s">
        <v>150</v>
      </c>
    </row>
    <row r="10" spans="1:9" x14ac:dyDescent="0.25">
      <c r="A10" t="s">
        <v>18</v>
      </c>
      <c r="B10" s="21">
        <v>1</v>
      </c>
      <c r="C10" s="20" t="s">
        <v>10</v>
      </c>
      <c r="D10" s="4" t="s">
        <v>19</v>
      </c>
      <c r="F10" s="29" t="s">
        <v>151</v>
      </c>
      <c r="G10" s="33">
        <f>IF(G4="2 — фиксированное число по сторонам",G6,G8)</f>
        <v>5</v>
      </c>
      <c r="H10" s="31" t="s">
        <v>146</v>
      </c>
      <c r="I10" s="29" t="s">
        <v>150</v>
      </c>
    </row>
    <row r="11" spans="1:9" ht="30" x14ac:dyDescent="0.25">
      <c r="A11" t="s">
        <v>20</v>
      </c>
      <c r="B11" s="21">
        <v>4</v>
      </c>
      <c r="C11" s="20" t="s">
        <v>10</v>
      </c>
      <c r="D11" s="4" t="s">
        <v>21</v>
      </c>
    </row>
    <row r="12" spans="1:9" x14ac:dyDescent="0.25">
      <c r="A12" t="s">
        <v>22</v>
      </c>
      <c r="B12" s="22">
        <v>0.2</v>
      </c>
      <c r="C12" s="20" t="s">
        <v>10</v>
      </c>
      <c r="D12" s="4" t="s">
        <v>23</v>
      </c>
    </row>
    <row r="13" spans="1:9" ht="45" x14ac:dyDescent="0.25">
      <c r="A13" t="s">
        <v>24</v>
      </c>
      <c r="B13" s="8">
        <v>1</v>
      </c>
      <c r="C13" s="20" t="s">
        <v>10</v>
      </c>
      <c r="D13" s="4" t="s">
        <v>25</v>
      </c>
    </row>
    <row r="14" spans="1:9" ht="30" x14ac:dyDescent="0.25">
      <c r="A14" t="s">
        <v>26</v>
      </c>
      <c r="B14" s="21">
        <v>1.2</v>
      </c>
      <c r="C14" s="20" t="s">
        <v>10</v>
      </c>
      <c r="D14" s="4" t="s">
        <v>27</v>
      </c>
    </row>
    <row r="15" spans="1:9" ht="30" x14ac:dyDescent="0.25">
      <c r="A15" t="s">
        <v>28</v>
      </c>
      <c r="B15" s="7" t="s">
        <v>29</v>
      </c>
      <c r="C15" s="20" t="s">
        <v>10</v>
      </c>
      <c r="D15" s="4" t="s">
        <v>30</v>
      </c>
    </row>
    <row r="17" spans="1:4" x14ac:dyDescent="0.25">
      <c r="A17" s="35" t="s">
        <v>31</v>
      </c>
      <c r="B17" s="35"/>
      <c r="C17" s="35"/>
      <c r="D17" s="35"/>
    </row>
    <row r="18" spans="1:4" x14ac:dyDescent="0.25">
      <c r="A18" s="4" t="s">
        <v>32</v>
      </c>
      <c r="B18" s="23">
        <f>B6/B7</f>
        <v>10.714285714285714</v>
      </c>
      <c r="C18" s="20" t="s">
        <v>33</v>
      </c>
    </row>
    <row r="19" spans="1:4" x14ac:dyDescent="0.25">
      <c r="A19" s="4" t="s">
        <v>34</v>
      </c>
      <c r="B19" s="23">
        <f>B8+2*B11+2*IF(B9="Да",B10,0)</f>
        <v>10.6</v>
      </c>
      <c r="C19" s="20" t="s">
        <v>35</v>
      </c>
    </row>
    <row r="20" spans="1:4" x14ac:dyDescent="0.25">
      <c r="A20" s="4" t="s">
        <v>36</v>
      </c>
      <c r="B20" s="23">
        <f>B7*B19</f>
        <v>1484</v>
      </c>
      <c r="C20" s="20" t="s">
        <v>37</v>
      </c>
    </row>
    <row r="21" spans="1:4" x14ac:dyDescent="0.25">
      <c r="A21" s="4" t="s">
        <v>38</v>
      </c>
      <c r="B21" s="23">
        <f>B6-B20</f>
        <v>16</v>
      </c>
      <c r="C21" s="20" t="s">
        <v>39</v>
      </c>
    </row>
    <row r="22" spans="1:4" x14ac:dyDescent="0.25">
      <c r="A22" s="4" t="s">
        <v>40</v>
      </c>
      <c r="B22" s="23">
        <f>B7*B8</f>
        <v>364</v>
      </c>
      <c r="C22" s="20" t="s">
        <v>41</v>
      </c>
    </row>
    <row r="23" spans="1:4" x14ac:dyDescent="0.25">
      <c r="A23" s="4" t="s">
        <v>42</v>
      </c>
      <c r="B23" s="23">
        <f>2*B7*IF(B9="Да",B10,0)</f>
        <v>0</v>
      </c>
      <c r="C23" s="20" t="s">
        <v>43</v>
      </c>
    </row>
    <row r="24" spans="1:4" x14ac:dyDescent="0.25">
      <c r="A24" s="4" t="s">
        <v>44</v>
      </c>
      <c r="B24" s="23">
        <f>B7*B11</f>
        <v>560</v>
      </c>
      <c r="C24" s="20" t="s">
        <v>45</v>
      </c>
    </row>
    <row r="25" spans="1:4" x14ac:dyDescent="0.25">
      <c r="A25" s="4" t="s">
        <v>46</v>
      </c>
      <c r="B25" s="23">
        <f>'2_Komponovka'!D16</f>
        <v>540</v>
      </c>
      <c r="C25" s="20" t="s">
        <v>47</v>
      </c>
    </row>
    <row r="26" spans="1:4" x14ac:dyDescent="0.25">
      <c r="A26" s="4" t="s">
        <v>48</v>
      </c>
      <c r="B26" s="23">
        <f>B24-B25</f>
        <v>20</v>
      </c>
      <c r="C26" s="20" t="s">
        <v>49</v>
      </c>
    </row>
    <row r="27" spans="1:4" x14ac:dyDescent="0.25">
      <c r="A27" s="4" t="s">
        <v>50</v>
      </c>
      <c r="B27" s="23">
        <f>B7*B11</f>
        <v>560</v>
      </c>
      <c r="C27" s="20" t="s">
        <v>51</v>
      </c>
    </row>
    <row r="28" spans="1:4" x14ac:dyDescent="0.25">
      <c r="A28" s="4" t="s">
        <v>52</v>
      </c>
      <c r="B28" s="23">
        <f>'2_Komponovka'!E16</f>
        <v>540</v>
      </c>
      <c r="C28" s="20" t="s">
        <v>53</v>
      </c>
    </row>
    <row r="29" spans="1:4" x14ac:dyDescent="0.25">
      <c r="A29" s="4" t="s">
        <v>54</v>
      </c>
      <c r="B29" s="23">
        <f>B27-B28</f>
        <v>20</v>
      </c>
      <c r="C29" s="20" t="s">
        <v>49</v>
      </c>
    </row>
    <row r="30" spans="1:4" x14ac:dyDescent="0.25">
      <c r="A30" s="4" t="s">
        <v>152</v>
      </c>
      <c r="B30" s="24">
        <f>G9</f>
        <v>3</v>
      </c>
      <c r="C30" s="20" t="s">
        <v>153</v>
      </c>
    </row>
    <row r="31" spans="1:4" x14ac:dyDescent="0.25">
      <c r="A31" s="4" t="s">
        <v>55</v>
      </c>
      <c r="B31" s="23">
        <f>B30*B14</f>
        <v>3.5999999999999996</v>
      </c>
      <c r="C31" s="20" t="s">
        <v>56</v>
      </c>
    </row>
    <row r="32" spans="1:4" x14ac:dyDescent="0.25">
      <c r="A32" s="4" t="s">
        <v>57</v>
      </c>
      <c r="B32" s="23">
        <f>MAX(0,B7-B31)</f>
        <v>136.4</v>
      </c>
      <c r="C32" s="20" t="s">
        <v>58</v>
      </c>
    </row>
    <row r="33" spans="1:9" x14ac:dyDescent="0.25">
      <c r="A33" s="4" t="s">
        <v>59</v>
      </c>
      <c r="B33" s="23">
        <f>'2_Komponovka'!F16</f>
        <v>135</v>
      </c>
      <c r="C33" s="20" t="s">
        <v>60</v>
      </c>
    </row>
    <row r="34" spans="1:9" x14ac:dyDescent="0.25">
      <c r="A34" s="4" t="s">
        <v>61</v>
      </c>
      <c r="B34" s="23">
        <f>B32-B33</f>
        <v>1.4000000000000057</v>
      </c>
      <c r="C34" s="20" t="s">
        <v>62</v>
      </c>
    </row>
    <row r="35" spans="1:9" x14ac:dyDescent="0.25">
      <c r="A35" s="4" t="s">
        <v>154</v>
      </c>
      <c r="B35" s="24">
        <f>G10</f>
        <v>5</v>
      </c>
      <c r="C35" s="20" t="s">
        <v>153</v>
      </c>
    </row>
    <row r="36" spans="1:9" x14ac:dyDescent="0.25">
      <c r="A36" s="4" t="s">
        <v>63</v>
      </c>
      <c r="B36" s="23">
        <f>B35*B14</f>
        <v>6</v>
      </c>
      <c r="C36" s="20" t="s">
        <v>56</v>
      </c>
    </row>
    <row r="37" spans="1:9" x14ac:dyDescent="0.25">
      <c r="A37" s="4" t="s">
        <v>64</v>
      </c>
      <c r="B37" s="23">
        <f>MAX(0,B7-B36)</f>
        <v>134</v>
      </c>
      <c r="C37" s="20" t="s">
        <v>58</v>
      </c>
    </row>
    <row r="38" spans="1:9" x14ac:dyDescent="0.25">
      <c r="A38" s="4" t="s">
        <v>65</v>
      </c>
      <c r="B38" s="23">
        <f>'2_Komponovka'!G16</f>
        <v>135</v>
      </c>
      <c r="C38" s="20" t="s">
        <v>60</v>
      </c>
    </row>
    <row r="39" spans="1:9" x14ac:dyDescent="0.25">
      <c r="A39" s="4" t="s">
        <v>66</v>
      </c>
      <c r="B39" s="23">
        <f>B37-B38</f>
        <v>-1</v>
      </c>
      <c r="C39" s="20" t="s">
        <v>62</v>
      </c>
    </row>
    <row r="40" spans="1:9" x14ac:dyDescent="0.25">
      <c r="A40" s="4" t="s">
        <v>67</v>
      </c>
      <c r="B40" s="25" t="str">
        <f>IF(AND(B21&gt;=0,B26&gt;=0,B29&gt;=0,B34&gt;=0,B39&gt;=0),"ПРОХОДИТ","НЕ ПРОХОДИТ")</f>
        <v>НЕ ПРОХОДИТ</v>
      </c>
      <c r="C40" s="20" t="s">
        <v>68</v>
      </c>
    </row>
    <row r="45" spans="1:9" ht="30" x14ac:dyDescent="0.25">
      <c r="A45" s="1" t="s">
        <v>69</v>
      </c>
      <c r="B45" s="1" t="s">
        <v>70</v>
      </c>
      <c r="C45" s="1" t="s">
        <v>71</v>
      </c>
      <c r="D45" s="1" t="s">
        <v>72</v>
      </c>
      <c r="E45" s="1" t="s">
        <v>73</v>
      </c>
      <c r="F45" s="1" t="s">
        <v>74</v>
      </c>
      <c r="G45" s="1" t="s">
        <v>75</v>
      </c>
      <c r="H45" s="1" t="s">
        <v>76</v>
      </c>
      <c r="I45" s="1" t="s">
        <v>155</v>
      </c>
    </row>
    <row r="46" spans="1:9" x14ac:dyDescent="0.25">
      <c r="A46" t="str">
        <f>'2_Komponovka'!A2</f>
        <v>Бараны-производители</v>
      </c>
      <c r="B46" s="3">
        <f>'2_Komponovka'!B2</f>
        <v>0</v>
      </c>
      <c r="C46" s="3">
        <f>'2_Komponovka'!C2</f>
        <v>0</v>
      </c>
      <c r="D46" s="3">
        <f>'2_Komponovka'!B2+'2_Komponovka'!C2</f>
        <v>0</v>
      </c>
      <c r="E46" s="9">
        <f>'2_Komponovka'!D2</f>
        <v>0</v>
      </c>
      <c r="F46" s="9">
        <f>'2_Komponovka'!E2</f>
        <v>0</v>
      </c>
      <c r="G46" s="9">
        <f>'2_Komponovka'!F2</f>
        <v>0</v>
      </c>
      <c r="H46" s="9">
        <f>'2_Komponovka'!G2</f>
        <v>0</v>
      </c>
      <c r="I46" t="str">
        <f>IF($G$4="2 — фиксированное число по сторонам","—",'2_Komponovka'!J2&amp;" / "&amp;'2_Komponovka'!K2)</f>
        <v>—</v>
      </c>
    </row>
    <row r="47" spans="1:9" x14ac:dyDescent="0.25">
      <c r="A47" t="str">
        <f>'2_Komponovka'!A3</f>
        <v>Бараны-пробники</v>
      </c>
      <c r="B47" s="3">
        <f>'2_Komponovka'!B3</f>
        <v>0</v>
      </c>
      <c r="C47" s="3">
        <f>'2_Komponovka'!C3</f>
        <v>0</v>
      </c>
      <c r="D47" s="3">
        <f>'2_Komponovka'!B3+'2_Komponovka'!C3</f>
        <v>0</v>
      </c>
      <c r="E47" s="9">
        <f>'2_Komponovka'!D3</f>
        <v>0</v>
      </c>
      <c r="F47" s="9">
        <f>'2_Komponovka'!E3</f>
        <v>0</v>
      </c>
      <c r="G47" s="9">
        <f>'2_Komponovka'!F3</f>
        <v>0</v>
      </c>
      <c r="H47" s="9">
        <f>'2_Komponovka'!G3</f>
        <v>0</v>
      </c>
      <c r="I47" t="str">
        <f>IF($G$4="2 — фиксированное число по сторонам","—",'2_Komponovka'!J3&amp;" / "&amp;'2_Komponovka'!K3)</f>
        <v>—</v>
      </c>
    </row>
    <row r="48" spans="1:9" x14ac:dyDescent="0.25">
      <c r="A48" t="str">
        <f>'2_Komponovka'!A4</f>
        <v>Матки холостые</v>
      </c>
      <c r="B48" s="3">
        <f>'2_Komponovka'!B4</f>
        <v>0</v>
      </c>
      <c r="C48" s="3">
        <f>'2_Komponovka'!C4</f>
        <v>0</v>
      </c>
      <c r="D48" s="3">
        <f>'2_Komponovka'!B4+'2_Komponovka'!C4</f>
        <v>0</v>
      </c>
      <c r="E48" s="9">
        <f>'2_Komponovka'!D4</f>
        <v>0</v>
      </c>
      <c r="F48" s="9">
        <f>'2_Komponovka'!E4</f>
        <v>0</v>
      </c>
      <c r="G48" s="9">
        <f>'2_Komponovka'!F4</f>
        <v>0</v>
      </c>
      <c r="H48" s="9">
        <f>'2_Komponovka'!G4</f>
        <v>0</v>
      </c>
      <c r="I48" t="str">
        <f>IF($G$4="2 — фиксированное число по сторонам","—",'2_Komponovka'!J4&amp;" / "&amp;'2_Komponovka'!K4)</f>
        <v>—</v>
      </c>
    </row>
    <row r="49" spans="1:9" x14ac:dyDescent="0.25">
      <c r="A49" t="str">
        <f>'2_Komponovka'!A5</f>
        <v>Матки суягные</v>
      </c>
      <c r="B49" s="3">
        <f>'2_Komponovka'!B5</f>
        <v>0</v>
      </c>
      <c r="C49" s="3">
        <f>'2_Komponovka'!C5</f>
        <v>0</v>
      </c>
      <c r="D49" s="3">
        <f>'2_Komponovka'!B5+'2_Komponovka'!C5</f>
        <v>0</v>
      </c>
      <c r="E49" s="9">
        <f>'2_Komponovka'!D5</f>
        <v>0</v>
      </c>
      <c r="F49" s="9">
        <f>'2_Komponovka'!E5</f>
        <v>0</v>
      </c>
      <c r="G49" s="9">
        <f>'2_Komponovka'!F5</f>
        <v>0</v>
      </c>
      <c r="H49" s="9">
        <f>'2_Komponovka'!G5</f>
        <v>0</v>
      </c>
      <c r="I49" t="str">
        <f>IF($G$4="2 — фиксированное число по сторонам","—",'2_Komponovka'!J5&amp;" / "&amp;'2_Komponovka'!K5)</f>
        <v>—</v>
      </c>
    </row>
    <row r="50" spans="1:9" x14ac:dyDescent="0.25">
      <c r="A50" t="str">
        <f>'2_Komponovka'!A6</f>
        <v>Матки подсосные с ягнятами до 10 дней</v>
      </c>
      <c r="B50" s="3">
        <f>'2_Komponovka'!B6</f>
        <v>300</v>
      </c>
      <c r="C50" s="3">
        <f>'2_Komponovka'!C6</f>
        <v>300</v>
      </c>
      <c r="D50" s="3">
        <f>'2_Komponovka'!B6+'2_Komponovka'!C6</f>
        <v>600</v>
      </c>
      <c r="E50" s="9">
        <f>'2_Komponovka'!D6</f>
        <v>432</v>
      </c>
      <c r="F50" s="9">
        <f>'2_Komponovka'!E6</f>
        <v>432</v>
      </c>
      <c r="G50" s="9">
        <f>'2_Komponovka'!F6</f>
        <v>90</v>
      </c>
      <c r="H50" s="9">
        <f>'2_Komponovka'!G6</f>
        <v>90</v>
      </c>
      <c r="I50" t="str">
        <f>IF($G$4="2 — фиксированное число по сторонам","—",'2_Komponovka'!J6&amp;" / "&amp;'2_Komponovka'!K6)</f>
        <v>—</v>
      </c>
    </row>
    <row r="51" spans="1:9" x14ac:dyDescent="0.25">
      <c r="A51" t="str">
        <f>'2_Komponovka'!A7</f>
        <v>Матки подсосные старше 10 дней, зимнее ягнение</v>
      </c>
      <c r="B51" s="3">
        <f>'2_Komponovka'!B7</f>
        <v>0</v>
      </c>
      <c r="C51" s="3">
        <f>'2_Komponovka'!C7</f>
        <v>0</v>
      </c>
      <c r="D51" s="3">
        <f>'2_Komponovka'!B7+'2_Komponovka'!C7</f>
        <v>0</v>
      </c>
      <c r="E51" s="9">
        <f>'2_Komponovka'!D7</f>
        <v>0</v>
      </c>
      <c r="F51" s="9">
        <f>'2_Komponovka'!E7</f>
        <v>0</v>
      </c>
      <c r="G51" s="9">
        <f>'2_Komponovka'!F7</f>
        <v>0</v>
      </c>
      <c r="H51" s="9">
        <f>'2_Komponovka'!G7</f>
        <v>0</v>
      </c>
      <c r="I51" t="str">
        <f>IF($G$4="2 — фиксированное число по сторонам","—",'2_Komponovka'!J7&amp;" / "&amp;'2_Komponovka'!K7)</f>
        <v>—</v>
      </c>
    </row>
    <row r="52" spans="1:9" x14ac:dyDescent="0.25">
      <c r="A52" t="str">
        <f>'2_Komponovka'!A8</f>
        <v>Матки подсосные старше 10 дней, весеннее ягнение</v>
      </c>
      <c r="B52" s="3">
        <f>'2_Komponovka'!B8</f>
        <v>0</v>
      </c>
      <c r="C52" s="3">
        <f>'2_Komponovka'!C8</f>
        <v>0</v>
      </c>
      <c r="D52" s="3">
        <f>'2_Komponovka'!B8+'2_Komponovka'!C8</f>
        <v>0</v>
      </c>
      <c r="E52" s="9">
        <f>'2_Komponovka'!D8</f>
        <v>0</v>
      </c>
      <c r="F52" s="9">
        <f>'2_Komponovka'!E8</f>
        <v>0</v>
      </c>
      <c r="G52" s="9">
        <f>'2_Komponovka'!F8</f>
        <v>0</v>
      </c>
      <c r="H52" s="9">
        <f>'2_Komponovka'!G8</f>
        <v>0</v>
      </c>
      <c r="I52" t="str">
        <f>IF($G$4="2 — фиксированное число по сторонам","—",'2_Komponovka'!J8&amp;" / "&amp;'2_Komponovka'!K8)</f>
        <v>—</v>
      </c>
    </row>
    <row r="53" spans="1:9" x14ac:dyDescent="0.25">
      <c r="A53" t="str">
        <f>'2_Komponovka'!A9</f>
        <v>Ремонтный молодняк</v>
      </c>
      <c r="B53" s="3">
        <f>'2_Komponovka'!B9</f>
        <v>0</v>
      </c>
      <c r="C53" s="3">
        <f>'2_Komponovka'!C9</f>
        <v>0</v>
      </c>
      <c r="D53" s="3">
        <f>'2_Komponovka'!B9+'2_Komponovka'!C9</f>
        <v>0</v>
      </c>
      <c r="E53" s="9">
        <f>'2_Komponovka'!D9</f>
        <v>0</v>
      </c>
      <c r="F53" s="9">
        <f>'2_Komponovka'!E9</f>
        <v>0</v>
      </c>
      <c r="G53" s="9">
        <f>'2_Komponovka'!F9</f>
        <v>0</v>
      </c>
      <c r="H53" s="9">
        <f>'2_Komponovka'!G9</f>
        <v>0</v>
      </c>
      <c r="I53" t="str">
        <f>IF($G$4="2 — фиксированное число по сторонам","—",'2_Komponovka'!J9&amp;" / "&amp;'2_Komponovka'!K9)</f>
        <v>—</v>
      </c>
    </row>
    <row r="54" spans="1:9" x14ac:dyDescent="0.25">
      <c r="A54" t="str">
        <f>'2_Komponovka'!A10</f>
        <v>Ягнята до 45 дней</v>
      </c>
      <c r="B54" s="3">
        <f>'2_Komponovka'!B10</f>
        <v>300</v>
      </c>
      <c r="C54" s="3">
        <f>'2_Komponovka'!C10</f>
        <v>300</v>
      </c>
      <c r="D54" s="3">
        <f>'2_Komponovka'!B10+'2_Komponovka'!C10</f>
        <v>600</v>
      </c>
      <c r="E54" s="9">
        <f>'2_Komponovka'!D10</f>
        <v>108</v>
      </c>
      <c r="F54" s="9">
        <f>'2_Komponovka'!E10</f>
        <v>108</v>
      </c>
      <c r="G54" s="9">
        <f>'2_Komponovka'!F10</f>
        <v>45</v>
      </c>
      <c r="H54" s="9">
        <f>'2_Komponovka'!G10</f>
        <v>45</v>
      </c>
      <c r="I54" t="str">
        <f>IF($G$4="2 — фиксированное число по сторонам","—",'2_Komponovka'!J10&amp;" / "&amp;'2_Komponovka'!K10)</f>
        <v>—</v>
      </c>
    </row>
    <row r="55" spans="1:9" x14ac:dyDescent="0.25">
      <c r="A55" t="str">
        <f>'2_Komponovka'!A11</f>
        <v>Ягнята старше 45 дней до 4 месяцев</v>
      </c>
      <c r="B55" s="3">
        <f>'2_Komponovka'!B11</f>
        <v>0</v>
      </c>
      <c r="C55" s="3">
        <f>'2_Komponovka'!C11</f>
        <v>0</v>
      </c>
      <c r="D55" s="3">
        <f>'2_Komponovka'!B11+'2_Komponovka'!C11</f>
        <v>0</v>
      </c>
      <c r="E55" s="9">
        <f>'2_Komponovka'!D11</f>
        <v>0</v>
      </c>
      <c r="F55" s="9">
        <f>'2_Komponovka'!E11</f>
        <v>0</v>
      </c>
      <c r="G55" s="9">
        <f>'2_Komponovka'!F11</f>
        <v>0</v>
      </c>
      <c r="H55" s="9">
        <f>'2_Komponovka'!G11</f>
        <v>0</v>
      </c>
      <c r="I55" t="str">
        <f>IF($G$4="2 — фиксированное число по сторонам","—",'2_Komponovka'!J11&amp;" / "&amp;'2_Komponovka'!K11)</f>
        <v>—</v>
      </c>
    </row>
    <row r="56" spans="1:9" x14ac:dyDescent="0.25">
      <c r="A56" t="str">
        <f>'2_Komponovka'!A12</f>
        <v>Откормочное поголовье взрослое</v>
      </c>
      <c r="B56" s="3">
        <f>'2_Komponovka'!B12</f>
        <v>0</v>
      </c>
      <c r="C56" s="3">
        <f>'2_Komponovka'!C12</f>
        <v>0</v>
      </c>
      <c r="D56" s="3">
        <f>'2_Komponovka'!B12+'2_Komponovka'!C12</f>
        <v>0</v>
      </c>
      <c r="E56" s="9">
        <f>'2_Komponovka'!D12</f>
        <v>0</v>
      </c>
      <c r="F56" s="9">
        <f>'2_Komponovka'!E12</f>
        <v>0</v>
      </c>
      <c r="G56" s="9">
        <f>'2_Komponovka'!F12</f>
        <v>0</v>
      </c>
      <c r="H56" s="9">
        <f>'2_Komponovka'!G12</f>
        <v>0</v>
      </c>
      <c r="I56" t="str">
        <f>IF($G$4="2 — фиксированное число по сторонам","—",'2_Komponovka'!J12&amp;" / "&amp;'2_Komponovka'!K12)</f>
        <v>—</v>
      </c>
    </row>
    <row r="57" spans="1:9" x14ac:dyDescent="0.25">
      <c r="A57" t="str">
        <f>'2_Komponovka'!A13</f>
        <v>Откормочное поголовье молодняк</v>
      </c>
      <c r="B57" s="3">
        <f>'2_Komponovka'!B13</f>
        <v>0</v>
      </c>
      <c r="C57" s="3">
        <f>'2_Komponovka'!C13</f>
        <v>0</v>
      </c>
      <c r="D57" s="3">
        <f>'2_Komponovka'!B13+'2_Komponovka'!C13</f>
        <v>0</v>
      </c>
      <c r="E57" s="9">
        <f>'2_Komponovka'!D13</f>
        <v>0</v>
      </c>
      <c r="F57" s="9">
        <f>'2_Komponovka'!E13</f>
        <v>0</v>
      </c>
      <c r="G57" s="9">
        <f>'2_Komponovka'!F13</f>
        <v>0</v>
      </c>
      <c r="H57" s="9">
        <f>'2_Komponovka'!G13</f>
        <v>0</v>
      </c>
      <c r="I57" t="str">
        <f>IF($G$4="2 — фиксированное число по сторонам","—",'2_Komponovka'!J13&amp;" / "&amp;'2_Komponovka'!K13)</f>
        <v>—</v>
      </c>
    </row>
    <row r="58" spans="1:9" x14ac:dyDescent="0.25">
      <c r="A58" t="str">
        <f>'2_Komponovka'!A14</f>
        <v>Валухи</v>
      </c>
      <c r="B58" s="3">
        <f>'2_Komponovka'!B14</f>
        <v>0</v>
      </c>
      <c r="C58" s="3">
        <f>'2_Komponovka'!C14</f>
        <v>0</v>
      </c>
      <c r="D58" s="3">
        <f>'2_Komponovka'!B14+'2_Komponovka'!C14</f>
        <v>0</v>
      </c>
      <c r="E58" s="9">
        <f>'2_Komponovka'!D14</f>
        <v>0</v>
      </c>
      <c r="F58" s="9">
        <f>'2_Komponovka'!E14</f>
        <v>0</v>
      </c>
      <c r="G58" s="9">
        <f>'2_Komponovka'!F14</f>
        <v>0</v>
      </c>
      <c r="H58" s="9">
        <f>'2_Komponovka'!G14</f>
        <v>0</v>
      </c>
      <c r="I58" t="str">
        <f>IF($G$4="2 — фиксированное число по сторонам","—",'2_Komponovka'!J14&amp;" / "&amp;'2_Komponovka'!K14)</f>
        <v>—</v>
      </c>
    </row>
    <row r="59" spans="1:9" x14ac:dyDescent="0.25">
      <c r="A59" s="5" t="s">
        <v>77</v>
      </c>
      <c r="B59" s="11">
        <f t="shared" ref="B59:H59" si="0">SUM(B46:B58)</f>
        <v>600</v>
      </c>
      <c r="C59" s="11">
        <f t="shared" si="0"/>
        <v>600</v>
      </c>
      <c r="D59" s="11">
        <f t="shared" si="0"/>
        <v>1200</v>
      </c>
      <c r="E59" s="10">
        <f t="shared" si="0"/>
        <v>540</v>
      </c>
      <c r="F59" s="10">
        <f t="shared" si="0"/>
        <v>540</v>
      </c>
      <c r="G59" s="10">
        <f t="shared" si="0"/>
        <v>135</v>
      </c>
      <c r="H59" s="10">
        <f t="shared" si="0"/>
        <v>135</v>
      </c>
      <c r="I59" s="5" t="str">
        <f>B30&amp;" / "&amp;B35</f>
        <v>3 / 5</v>
      </c>
    </row>
    <row r="62" spans="1:9" x14ac:dyDescent="0.25">
      <c r="A62" s="36" t="s">
        <v>78</v>
      </c>
      <c r="B62" s="36"/>
      <c r="C62" s="36"/>
      <c r="D62" s="36"/>
    </row>
    <row r="63" spans="1:9" x14ac:dyDescent="0.25">
      <c r="A63" s="36"/>
      <c r="B63" s="36"/>
      <c r="C63" s="36"/>
      <c r="D63" s="36"/>
    </row>
  </sheetData>
  <mergeCells count="5">
    <mergeCell ref="A1:D1"/>
    <mergeCell ref="A3:D3"/>
    <mergeCell ref="A17:D17"/>
    <mergeCell ref="A62:D63"/>
    <mergeCell ref="F3:I3"/>
  </mergeCells>
  <conditionalFormatting sqref="B21">
    <cfRule type="cellIs" dxfId="11" priority="1" operator="lessThan">
      <formula>0</formula>
    </cfRule>
    <cfRule type="cellIs" dxfId="10" priority="2" operator="greaterThanOrEqual">
      <formula>0</formula>
    </cfRule>
  </conditionalFormatting>
  <conditionalFormatting sqref="B26">
    <cfRule type="cellIs" dxfId="9" priority="3" operator="lessThan">
      <formula>0</formula>
    </cfRule>
    <cfRule type="cellIs" dxfId="8" priority="4" operator="greaterThanOrEqual">
      <formula>0</formula>
    </cfRule>
  </conditionalFormatting>
  <conditionalFormatting sqref="B29">
    <cfRule type="cellIs" dxfId="7" priority="5" operator="lessThan">
      <formula>0</formula>
    </cfRule>
    <cfRule type="cellIs" dxfId="6" priority="6" operator="greaterThanOrEqual">
      <formula>0</formula>
    </cfRule>
  </conditionalFormatting>
  <conditionalFormatting sqref="B34">
    <cfRule type="cellIs" dxfId="5" priority="7" operator="lessThan">
      <formula>0</formula>
    </cfRule>
    <cfRule type="cellIs" dxfId="4" priority="8" operator="greaterThanOrEqual">
      <formula>0</formula>
    </cfRule>
  </conditionalFormatting>
  <conditionalFormatting sqref="B39">
    <cfRule type="cellIs" dxfId="3" priority="9" operator="lessThan">
      <formula>0</formula>
    </cfRule>
    <cfRule type="cellIs" dxfId="2" priority="10" operator="greaterThanOrEqual">
      <formula>0</formula>
    </cfRule>
  </conditionalFormatting>
  <conditionalFormatting sqref="B40">
    <cfRule type="expression" dxfId="1" priority="11">
      <formula>B40="ПРОХОДИТ"</formula>
    </cfRule>
    <cfRule type="expression" dxfId="0" priority="12">
      <formula>B40="НЕ ПРОХОДИТ"</formula>
    </cfRule>
  </conditionalFormatting>
  <dataValidations count="3">
    <dataValidation type="list" sqref="B9" xr:uid="{00000000-0002-0000-0000-000000000000}">
      <formula1>"Да,Нет"</formula1>
    </dataValidation>
    <dataValidation type="list" sqref="B15" xr:uid="{00000000-0002-0000-0000-000001000000}">
      <formula1>"Нормированное кормление (1 голова на место),Свободный доступ (2 головы на место)"</formula1>
    </dataValidation>
    <dataValidation type="list" sqref="G4" xr:uid="{00000000-0002-0000-0000-000002000000}">
      <formula1>"1 — по числу секций,2 — фиксированное число по сторонам"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workbookViewId="0">
      <selection activeCell="C23" sqref="C23"/>
    </sheetView>
  </sheetViews>
  <sheetFormatPr defaultRowHeight="15" x14ac:dyDescent="0.25"/>
  <cols>
    <col min="1" max="1" width="42" customWidth="1"/>
    <col min="2" max="3" width="13" customWidth="1"/>
    <col min="4" max="7" width="17" customWidth="1"/>
    <col min="8" max="11" width="13" customWidth="1"/>
    <col min="12" max="12" width="40.625" customWidth="1"/>
    <col min="13" max="15" width="17" customWidth="1"/>
  </cols>
  <sheetData>
    <row r="1" spans="1:15" ht="42" customHeight="1" x14ac:dyDescent="0.25">
      <c r="A1" s="1" t="s">
        <v>79</v>
      </c>
      <c r="B1" s="1" t="s">
        <v>70</v>
      </c>
      <c r="C1" s="1" t="s">
        <v>71</v>
      </c>
      <c r="D1" s="1" t="s">
        <v>73</v>
      </c>
      <c r="E1" s="1" t="s">
        <v>74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156</v>
      </c>
      <c r="K1" s="1" t="s">
        <v>157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x14ac:dyDescent="0.25">
      <c r="A2" s="19" t="s">
        <v>88</v>
      </c>
      <c r="B2" s="28">
        <v>0</v>
      </c>
      <c r="C2" s="28">
        <v>0</v>
      </c>
      <c r="D2" s="13">
        <f t="shared" ref="D2:D14" si="0">B2*M2</f>
        <v>0</v>
      </c>
      <c r="E2" s="13">
        <f t="shared" ref="E2:E14" si="1">C2*M2</f>
        <v>0</v>
      </c>
      <c r="F2" s="13">
        <f t="shared" ref="F2:F14" si="2">B2*N2</f>
        <v>0</v>
      </c>
      <c r="G2" s="13">
        <f t="shared" ref="G2:G14" si="3">C2*N2</f>
        <v>0</v>
      </c>
      <c r="H2" s="14">
        <f t="shared" ref="H2:H14" si="4">IF(B2&gt;0,CEILING(B2/O2,1),0)</f>
        <v>0</v>
      </c>
      <c r="I2" s="14">
        <f t="shared" ref="I2:I14" si="5">IF(C2&gt;0,CEILING(C2/O2,1),0)</f>
        <v>0</v>
      </c>
      <c r="J2" s="14">
        <f>H2*'1_Svodka'!$B$13</f>
        <v>0</v>
      </c>
      <c r="K2" s="14">
        <f>I2*'1_Svodka'!$B$13</f>
        <v>0</v>
      </c>
      <c r="L2" s="12" t="str">
        <f t="shared" ref="L2:L14" si="6">IF(B2+C2=0,"",H2&amp;" секц. слева / "&amp;I2&amp;" справа; "&amp;J2&amp;" дверей слева / "&amp;K2&amp;" справа")</f>
        <v/>
      </c>
      <c r="M2" s="15">
        <f>'3_Normativy'!C2</f>
        <v>2.4</v>
      </c>
      <c r="N2" s="15">
        <f>'3_Normativy'!F2</f>
        <v>0.5</v>
      </c>
      <c r="O2" s="14">
        <f>'3_Normativy'!G2</f>
        <v>25</v>
      </c>
    </row>
    <row r="3" spans="1:15" x14ac:dyDescent="0.25">
      <c r="A3" s="19" t="s">
        <v>89</v>
      </c>
      <c r="B3" s="28">
        <v>0</v>
      </c>
      <c r="C3" s="28">
        <v>0</v>
      </c>
      <c r="D3" s="13">
        <f t="shared" si="0"/>
        <v>0</v>
      </c>
      <c r="E3" s="13">
        <f t="shared" si="1"/>
        <v>0</v>
      </c>
      <c r="F3" s="13">
        <f t="shared" si="2"/>
        <v>0</v>
      </c>
      <c r="G3" s="13">
        <f t="shared" si="3"/>
        <v>0</v>
      </c>
      <c r="H3" s="14">
        <f t="shared" si="4"/>
        <v>0</v>
      </c>
      <c r="I3" s="14">
        <f t="shared" si="5"/>
        <v>0</v>
      </c>
      <c r="J3" s="14">
        <f>H3*'1_Svodka'!$B$13</f>
        <v>0</v>
      </c>
      <c r="K3" s="14">
        <f>I3*'1_Svodka'!$B$13</f>
        <v>0</v>
      </c>
      <c r="L3" s="12" t="str">
        <f t="shared" si="6"/>
        <v/>
      </c>
      <c r="M3" s="15">
        <f>'3_Normativy'!C3</f>
        <v>2.16</v>
      </c>
      <c r="N3" s="15">
        <f>'3_Normativy'!F3</f>
        <v>0.5</v>
      </c>
      <c r="O3" s="14">
        <f>'3_Normativy'!G3</f>
        <v>50</v>
      </c>
    </row>
    <row r="4" spans="1:15" x14ac:dyDescent="0.25">
      <c r="A4" s="19" t="s">
        <v>90</v>
      </c>
      <c r="B4" s="28">
        <v>0</v>
      </c>
      <c r="C4" s="28">
        <v>0</v>
      </c>
      <c r="D4" s="13">
        <f t="shared" si="0"/>
        <v>0</v>
      </c>
      <c r="E4" s="13">
        <f t="shared" si="1"/>
        <v>0</v>
      </c>
      <c r="F4" s="13">
        <f t="shared" si="2"/>
        <v>0</v>
      </c>
      <c r="G4" s="13">
        <f t="shared" si="3"/>
        <v>0</v>
      </c>
      <c r="H4" s="14">
        <f t="shared" si="4"/>
        <v>0</v>
      </c>
      <c r="I4" s="14">
        <f t="shared" si="5"/>
        <v>0</v>
      </c>
      <c r="J4" s="14">
        <f>H4*'1_Svodka'!$B$13</f>
        <v>0</v>
      </c>
      <c r="K4" s="14">
        <f>I4*'1_Svodka'!$B$13</f>
        <v>0</v>
      </c>
      <c r="L4" s="12" t="str">
        <f t="shared" si="6"/>
        <v/>
      </c>
      <c r="M4" s="15">
        <f>'3_Normativy'!C4</f>
        <v>0.84</v>
      </c>
      <c r="N4" s="15">
        <f>'3_Normativy'!F4</f>
        <v>0.3</v>
      </c>
      <c r="O4" s="14">
        <f>'3_Normativy'!G4</f>
        <v>250</v>
      </c>
    </row>
    <row r="5" spans="1:15" x14ac:dyDescent="0.25">
      <c r="A5" s="19" t="s">
        <v>91</v>
      </c>
      <c r="B5" s="28">
        <v>0</v>
      </c>
      <c r="C5" s="28">
        <v>0</v>
      </c>
      <c r="D5" s="13">
        <f t="shared" si="0"/>
        <v>0</v>
      </c>
      <c r="E5" s="13">
        <f t="shared" si="1"/>
        <v>0</v>
      </c>
      <c r="F5" s="13">
        <f t="shared" si="2"/>
        <v>0</v>
      </c>
      <c r="G5" s="13">
        <f t="shared" si="3"/>
        <v>0</v>
      </c>
      <c r="H5" s="14">
        <f t="shared" si="4"/>
        <v>0</v>
      </c>
      <c r="I5" s="14">
        <f t="shared" si="5"/>
        <v>0</v>
      </c>
      <c r="J5" s="14">
        <f>H5*'1_Svodka'!$B$13</f>
        <v>0</v>
      </c>
      <c r="K5" s="14">
        <f>I5*'1_Svodka'!$B$13</f>
        <v>0</v>
      </c>
      <c r="L5" s="12" t="str">
        <f t="shared" si="6"/>
        <v/>
      </c>
      <c r="M5" s="15">
        <f>'3_Normativy'!C5</f>
        <v>1.2</v>
      </c>
      <c r="N5" s="15">
        <f>'3_Normativy'!F5</f>
        <v>0.3</v>
      </c>
      <c r="O5" s="14">
        <f>'3_Normativy'!G5</f>
        <v>250</v>
      </c>
    </row>
    <row r="6" spans="1:15" x14ac:dyDescent="0.25">
      <c r="A6" s="19" t="s">
        <v>92</v>
      </c>
      <c r="B6" s="28">
        <v>300</v>
      </c>
      <c r="C6" s="28">
        <v>300</v>
      </c>
      <c r="D6" s="13">
        <f t="shared" si="0"/>
        <v>432</v>
      </c>
      <c r="E6" s="13">
        <f t="shared" si="1"/>
        <v>432</v>
      </c>
      <c r="F6" s="13">
        <f t="shared" si="2"/>
        <v>90</v>
      </c>
      <c r="G6" s="13">
        <f t="shared" si="3"/>
        <v>90</v>
      </c>
      <c r="H6" s="14">
        <f t="shared" si="4"/>
        <v>3</v>
      </c>
      <c r="I6" s="14">
        <f t="shared" si="5"/>
        <v>3</v>
      </c>
      <c r="J6" s="14">
        <f>H6*'1_Svodka'!$B$13</f>
        <v>3</v>
      </c>
      <c r="K6" s="14">
        <f>I6*'1_Svodka'!$B$13</f>
        <v>3</v>
      </c>
      <c r="L6" s="12" t="str">
        <f t="shared" si="6"/>
        <v>3 секц. слева / 3 справа; 3 дверей слева / 3 справа</v>
      </c>
      <c r="M6" s="15">
        <f>'3_Normativy'!C6</f>
        <v>1.44</v>
      </c>
      <c r="N6" s="15">
        <f>'3_Normativy'!F6</f>
        <v>0.3</v>
      </c>
      <c r="O6" s="14">
        <f>'3_Normativy'!G6</f>
        <v>120</v>
      </c>
    </row>
    <row r="7" spans="1:15" x14ac:dyDescent="0.25">
      <c r="A7" s="19" t="s">
        <v>93</v>
      </c>
      <c r="B7" s="28">
        <v>0</v>
      </c>
      <c r="C7" s="28">
        <v>0</v>
      </c>
      <c r="D7" s="13">
        <f t="shared" si="0"/>
        <v>0</v>
      </c>
      <c r="E7" s="13">
        <f t="shared" si="1"/>
        <v>0</v>
      </c>
      <c r="F7" s="13">
        <f t="shared" si="2"/>
        <v>0</v>
      </c>
      <c r="G7" s="13">
        <f t="shared" si="3"/>
        <v>0</v>
      </c>
      <c r="H7" s="14">
        <f t="shared" si="4"/>
        <v>0</v>
      </c>
      <c r="I7" s="14">
        <f t="shared" si="5"/>
        <v>0</v>
      </c>
      <c r="J7" s="14">
        <f>H7*'1_Svodka'!$B$13</f>
        <v>0</v>
      </c>
      <c r="K7" s="14">
        <f>I7*'1_Svodka'!$B$13</f>
        <v>0</v>
      </c>
      <c r="L7" s="12" t="str">
        <f t="shared" si="6"/>
        <v/>
      </c>
      <c r="M7" s="15">
        <f>'3_Normativy'!C7</f>
        <v>1.44</v>
      </c>
      <c r="N7" s="15">
        <f>'3_Normativy'!F7</f>
        <v>0.3</v>
      </c>
      <c r="O7" s="14">
        <f>'3_Normativy'!G7</f>
        <v>120</v>
      </c>
    </row>
    <row r="8" spans="1:15" ht="30" x14ac:dyDescent="0.25">
      <c r="A8" s="19" t="s">
        <v>94</v>
      </c>
      <c r="B8" s="28">
        <v>0</v>
      </c>
      <c r="C8" s="28">
        <v>0</v>
      </c>
      <c r="D8" s="13">
        <f t="shared" si="0"/>
        <v>0</v>
      </c>
      <c r="E8" s="13">
        <f t="shared" si="1"/>
        <v>0</v>
      </c>
      <c r="F8" s="13">
        <f t="shared" si="2"/>
        <v>0</v>
      </c>
      <c r="G8" s="13">
        <f t="shared" si="3"/>
        <v>0</v>
      </c>
      <c r="H8" s="14">
        <f t="shared" si="4"/>
        <v>0</v>
      </c>
      <c r="I8" s="14">
        <f t="shared" si="5"/>
        <v>0</v>
      </c>
      <c r="J8" s="14">
        <f>H8*'1_Svodka'!$B$13</f>
        <v>0</v>
      </c>
      <c r="K8" s="14">
        <f>I8*'1_Svodka'!$B$13</f>
        <v>0</v>
      </c>
      <c r="L8" s="12" t="str">
        <f t="shared" si="6"/>
        <v/>
      </c>
      <c r="M8" s="15">
        <f>'3_Normativy'!C8</f>
        <v>1.2</v>
      </c>
      <c r="N8" s="15">
        <f>'3_Normativy'!F8</f>
        <v>0.3</v>
      </c>
      <c r="O8" s="14">
        <f>'3_Normativy'!G8</f>
        <v>120</v>
      </c>
    </row>
    <row r="9" spans="1:15" x14ac:dyDescent="0.25">
      <c r="A9" s="19" t="s">
        <v>95</v>
      </c>
      <c r="B9" s="28">
        <v>0</v>
      </c>
      <c r="C9" s="28">
        <v>0</v>
      </c>
      <c r="D9" s="13">
        <f t="shared" si="0"/>
        <v>0</v>
      </c>
      <c r="E9" s="13">
        <f t="shared" si="1"/>
        <v>0</v>
      </c>
      <c r="F9" s="13">
        <f t="shared" si="2"/>
        <v>0</v>
      </c>
      <c r="G9" s="13">
        <f t="shared" si="3"/>
        <v>0</v>
      </c>
      <c r="H9" s="14">
        <f t="shared" si="4"/>
        <v>0</v>
      </c>
      <c r="I9" s="14">
        <f t="shared" si="5"/>
        <v>0</v>
      </c>
      <c r="J9" s="14">
        <f>H9*'1_Svodka'!$B$13</f>
        <v>0</v>
      </c>
      <c r="K9" s="14">
        <f>I9*'1_Svodka'!$B$13</f>
        <v>0</v>
      </c>
      <c r="L9" s="12" t="str">
        <f t="shared" si="6"/>
        <v/>
      </c>
      <c r="M9" s="15">
        <f>'3_Normativy'!C9</f>
        <v>0.84</v>
      </c>
      <c r="N9" s="15">
        <f>'3_Normativy'!F9</f>
        <v>0.3</v>
      </c>
      <c r="O9" s="14">
        <f>'3_Normativy'!G9</f>
        <v>250</v>
      </c>
    </row>
    <row r="10" spans="1:15" x14ac:dyDescent="0.25">
      <c r="A10" s="19" t="s">
        <v>96</v>
      </c>
      <c r="B10" s="28">
        <v>300</v>
      </c>
      <c r="C10" s="28">
        <v>300</v>
      </c>
      <c r="D10" s="13">
        <f t="shared" si="0"/>
        <v>108</v>
      </c>
      <c r="E10" s="13">
        <f t="shared" si="1"/>
        <v>108</v>
      </c>
      <c r="F10" s="13">
        <f t="shared" si="2"/>
        <v>45</v>
      </c>
      <c r="G10" s="13">
        <f t="shared" si="3"/>
        <v>45</v>
      </c>
      <c r="H10" s="14">
        <f t="shared" si="4"/>
        <v>12</v>
      </c>
      <c r="I10" s="14">
        <f t="shared" si="5"/>
        <v>12</v>
      </c>
      <c r="J10" s="14">
        <f>H10*'1_Svodka'!$B$13</f>
        <v>12</v>
      </c>
      <c r="K10" s="14">
        <f>I10*'1_Svodka'!$B$13</f>
        <v>12</v>
      </c>
      <c r="L10" s="12" t="str">
        <f t="shared" si="6"/>
        <v>12 секц. слева / 12 справа; 12 дверей слева / 12 справа</v>
      </c>
      <c r="M10" s="15">
        <f>'3_Normativy'!C10</f>
        <v>0.36</v>
      </c>
      <c r="N10" s="15">
        <f>'3_Normativy'!F10</f>
        <v>0.15</v>
      </c>
      <c r="O10" s="14">
        <f>'3_Normativy'!G10</f>
        <v>25</v>
      </c>
    </row>
    <row r="11" spans="1:15" x14ac:dyDescent="0.25">
      <c r="A11" s="19" t="s">
        <v>97</v>
      </c>
      <c r="B11" s="28">
        <v>0</v>
      </c>
      <c r="C11" s="28">
        <v>0</v>
      </c>
      <c r="D11" s="13">
        <f t="shared" si="0"/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4">
        <f t="shared" si="4"/>
        <v>0</v>
      </c>
      <c r="I11" s="14">
        <f t="shared" si="5"/>
        <v>0</v>
      </c>
      <c r="J11" s="14">
        <f>H11*'1_Svodka'!$B$13</f>
        <v>0</v>
      </c>
      <c r="K11" s="14">
        <f>I11*'1_Svodka'!$B$13</f>
        <v>0</v>
      </c>
      <c r="L11" s="12" t="str">
        <f t="shared" si="6"/>
        <v/>
      </c>
      <c r="M11" s="15">
        <f>'3_Normativy'!C11</f>
        <v>0.48</v>
      </c>
      <c r="N11" s="15">
        <f>'3_Normativy'!F11</f>
        <v>0.2</v>
      </c>
      <c r="O11" s="14">
        <f>'3_Normativy'!G11</f>
        <v>50</v>
      </c>
    </row>
    <row r="12" spans="1:15" x14ac:dyDescent="0.25">
      <c r="A12" s="19" t="s">
        <v>98</v>
      </c>
      <c r="B12" s="28">
        <v>0</v>
      </c>
      <c r="C12" s="28">
        <v>0</v>
      </c>
      <c r="D12" s="13">
        <f t="shared" si="0"/>
        <v>0</v>
      </c>
      <c r="E12" s="13">
        <f t="shared" si="1"/>
        <v>0</v>
      </c>
      <c r="F12" s="13">
        <f t="shared" si="2"/>
        <v>0</v>
      </c>
      <c r="G12" s="13">
        <f t="shared" si="3"/>
        <v>0</v>
      </c>
      <c r="H12" s="14">
        <f t="shared" si="4"/>
        <v>0</v>
      </c>
      <c r="I12" s="14">
        <f t="shared" si="5"/>
        <v>0</v>
      </c>
      <c r="J12" s="14">
        <f>H12*'1_Svodka'!$B$13</f>
        <v>0</v>
      </c>
      <c r="K12" s="14">
        <f>I12*'1_Svodka'!$B$13</f>
        <v>0</v>
      </c>
      <c r="L12" s="12" t="str">
        <f t="shared" si="6"/>
        <v/>
      </c>
      <c r="M12" s="15">
        <f>'3_Normativy'!C12</f>
        <v>0.6</v>
      </c>
      <c r="N12" s="15">
        <f>'3_Normativy'!F12</f>
        <v>0.3</v>
      </c>
      <c r="O12" s="14">
        <f>'3_Normativy'!G12</f>
        <v>250</v>
      </c>
    </row>
    <row r="13" spans="1:15" x14ac:dyDescent="0.25">
      <c r="A13" s="19" t="s">
        <v>99</v>
      </c>
      <c r="B13" s="28">
        <v>0</v>
      </c>
      <c r="C13" s="28">
        <v>0</v>
      </c>
      <c r="D13" s="13">
        <f t="shared" si="0"/>
        <v>0</v>
      </c>
      <c r="E13" s="13">
        <f t="shared" si="1"/>
        <v>0</v>
      </c>
      <c r="F13" s="13">
        <f t="shared" si="2"/>
        <v>0</v>
      </c>
      <c r="G13" s="13">
        <f t="shared" si="3"/>
        <v>0</v>
      </c>
      <c r="H13" s="14">
        <f t="shared" si="4"/>
        <v>0</v>
      </c>
      <c r="I13" s="14">
        <f t="shared" si="5"/>
        <v>0</v>
      </c>
      <c r="J13" s="14">
        <f>H13*'1_Svodka'!$B$13</f>
        <v>0</v>
      </c>
      <c r="K13" s="14">
        <f>I13*'1_Svodka'!$B$13</f>
        <v>0</v>
      </c>
      <c r="L13" s="12" t="str">
        <f t="shared" si="6"/>
        <v/>
      </c>
      <c r="M13" s="15">
        <f>'3_Normativy'!C13</f>
        <v>0.48</v>
      </c>
      <c r="N13" s="15">
        <f>'3_Normativy'!F13</f>
        <v>0.25</v>
      </c>
      <c r="O13" s="14">
        <f>'3_Normativy'!G13</f>
        <v>250</v>
      </c>
    </row>
    <row r="14" spans="1:15" x14ac:dyDescent="0.25">
      <c r="A14" s="19" t="s">
        <v>100</v>
      </c>
      <c r="B14" s="28">
        <v>0</v>
      </c>
      <c r="C14" s="28">
        <v>0</v>
      </c>
      <c r="D14" s="13">
        <f t="shared" si="0"/>
        <v>0</v>
      </c>
      <c r="E14" s="13">
        <f t="shared" si="1"/>
        <v>0</v>
      </c>
      <c r="F14" s="13">
        <f t="shared" si="2"/>
        <v>0</v>
      </c>
      <c r="G14" s="13">
        <f t="shared" si="3"/>
        <v>0</v>
      </c>
      <c r="H14" s="14">
        <f t="shared" si="4"/>
        <v>0</v>
      </c>
      <c r="I14" s="14">
        <f t="shared" si="5"/>
        <v>0</v>
      </c>
      <c r="J14" s="14">
        <f>H14*'1_Svodka'!$B$13</f>
        <v>0</v>
      </c>
      <c r="K14" s="14">
        <f>I14*'1_Svodka'!$B$13</f>
        <v>0</v>
      </c>
      <c r="L14" s="12" t="str">
        <f t="shared" si="6"/>
        <v/>
      </c>
      <c r="M14" s="15">
        <f>'3_Normativy'!C14</f>
        <v>0.6</v>
      </c>
      <c r="N14" s="15">
        <f>'3_Normativy'!F14</f>
        <v>0.3</v>
      </c>
      <c r="O14" s="14">
        <f>'3_Normativy'!G14</f>
        <v>250</v>
      </c>
    </row>
    <row r="15" spans="1:15" x14ac:dyDescent="0.25">
      <c r="A15" s="12"/>
      <c r="B15" s="12"/>
      <c r="C15" s="12"/>
      <c r="D15" s="13"/>
      <c r="E15" s="13"/>
      <c r="F15" s="13"/>
      <c r="G15" s="13"/>
      <c r="H15" s="14"/>
      <c r="I15" s="14"/>
      <c r="J15" s="14"/>
      <c r="K15" s="14"/>
      <c r="L15" s="12"/>
      <c r="M15" s="12"/>
      <c r="N15" s="12"/>
      <c r="O15" s="12"/>
    </row>
    <row r="16" spans="1:15" x14ac:dyDescent="0.25">
      <c r="A16" s="16" t="s">
        <v>77</v>
      </c>
      <c r="B16" s="16">
        <f t="shared" ref="B16:K16" si="7">SUM(B2:B14)</f>
        <v>600</v>
      </c>
      <c r="C16" s="16">
        <f t="shared" si="7"/>
        <v>600</v>
      </c>
      <c r="D16" s="17">
        <f t="shared" si="7"/>
        <v>540</v>
      </c>
      <c r="E16" s="17">
        <f t="shared" si="7"/>
        <v>540</v>
      </c>
      <c r="F16" s="17">
        <f t="shared" si="7"/>
        <v>135</v>
      </c>
      <c r="G16" s="17">
        <f t="shared" si="7"/>
        <v>135</v>
      </c>
      <c r="H16" s="18">
        <f t="shared" si="7"/>
        <v>15</v>
      </c>
      <c r="I16" s="18">
        <f t="shared" si="7"/>
        <v>15</v>
      </c>
      <c r="J16" s="18">
        <f t="shared" si="7"/>
        <v>15</v>
      </c>
      <c r="K16" s="18">
        <f t="shared" si="7"/>
        <v>15</v>
      </c>
      <c r="L16" s="16"/>
      <c r="M16" s="16"/>
      <c r="N16" s="16"/>
      <c r="O16" s="16"/>
    </row>
    <row r="19" spans="1:12" x14ac:dyDescent="0.25">
      <c r="A19" s="36" t="s">
        <v>158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2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3" spans="1:12" ht="105" x14ac:dyDescent="0.25">
      <c r="A23" s="27" t="s">
        <v>101</v>
      </c>
    </row>
  </sheetData>
  <mergeCells count="1">
    <mergeCell ref="A19:L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A3" sqref="A3"/>
    </sheetView>
  </sheetViews>
  <sheetFormatPr defaultRowHeight="15" x14ac:dyDescent="0.25"/>
  <cols>
    <col min="1" max="1" width="42" customWidth="1"/>
    <col min="2" max="7" width="18" customWidth="1"/>
    <col min="8" max="8" width="28" customWidth="1"/>
    <col min="9" max="9" width="38" customWidth="1"/>
  </cols>
  <sheetData>
    <row r="1" spans="1:9" ht="45.95" customHeight="1" x14ac:dyDescent="0.25">
      <c r="A1" s="1" t="s">
        <v>79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84</v>
      </c>
    </row>
    <row r="2" spans="1:9" x14ac:dyDescent="0.25">
      <c r="A2" s="4" t="s">
        <v>88</v>
      </c>
      <c r="B2" s="2">
        <v>2</v>
      </c>
      <c r="C2" s="2">
        <f>B2*(1+'1_Svodka'!$B$12)</f>
        <v>2.4</v>
      </c>
      <c r="D2" s="2">
        <v>0.5</v>
      </c>
      <c r="E2" s="2">
        <v>1</v>
      </c>
      <c r="F2" s="2">
        <f t="shared" ref="F2:F14" si="0">D2/E2</f>
        <v>0.5</v>
      </c>
      <c r="G2" s="3">
        <v>25</v>
      </c>
      <c r="H2" s="4" t="s">
        <v>109</v>
      </c>
      <c r="I2" s="4" t="s">
        <v>110</v>
      </c>
    </row>
    <row r="3" spans="1:9" x14ac:dyDescent="0.25">
      <c r="A3" s="4" t="s">
        <v>89</v>
      </c>
      <c r="B3" s="2">
        <v>1.8</v>
      </c>
      <c r="C3" s="2">
        <f>B3*(1+'1_Svodka'!$B$12)</f>
        <v>2.16</v>
      </c>
      <c r="D3" s="2">
        <v>0.5</v>
      </c>
      <c r="E3" s="2">
        <v>1</v>
      </c>
      <c r="F3" s="2">
        <f t="shared" si="0"/>
        <v>0.5</v>
      </c>
      <c r="G3" s="3">
        <v>50</v>
      </c>
      <c r="H3" s="4" t="s">
        <v>109</v>
      </c>
      <c r="I3" s="4" t="s">
        <v>111</v>
      </c>
    </row>
    <row r="4" spans="1:9" x14ac:dyDescent="0.25">
      <c r="A4" s="4" t="s">
        <v>90</v>
      </c>
      <c r="B4" s="2">
        <v>0.7</v>
      </c>
      <c r="C4" s="2">
        <f>B4*(1+'1_Svodka'!$B$12)</f>
        <v>0.84</v>
      </c>
      <c r="D4" s="2">
        <v>0.3</v>
      </c>
      <c r="E4" s="2">
        <v>1</v>
      </c>
      <c r="F4" s="2">
        <f t="shared" si="0"/>
        <v>0.3</v>
      </c>
      <c r="G4" s="3">
        <v>250</v>
      </c>
      <c r="H4" s="4" t="s">
        <v>109</v>
      </c>
      <c r="I4" s="4" t="s">
        <v>112</v>
      </c>
    </row>
    <row r="5" spans="1:9" x14ac:dyDescent="0.25">
      <c r="A5" s="4" t="s">
        <v>91</v>
      </c>
      <c r="B5" s="2">
        <v>1</v>
      </c>
      <c r="C5" s="2">
        <f>B5*(1+'1_Svodka'!$B$12)</f>
        <v>1.2</v>
      </c>
      <c r="D5" s="2">
        <v>0.3</v>
      </c>
      <c r="E5" s="2">
        <v>1</v>
      </c>
      <c r="F5" s="2">
        <f t="shared" si="0"/>
        <v>0.3</v>
      </c>
      <c r="G5" s="3">
        <v>250</v>
      </c>
      <c r="H5" s="4" t="s">
        <v>109</v>
      </c>
      <c r="I5" s="4" t="s">
        <v>112</v>
      </c>
    </row>
    <row r="6" spans="1:9" x14ac:dyDescent="0.25">
      <c r="A6" s="4" t="s">
        <v>92</v>
      </c>
      <c r="B6" s="2">
        <v>1.2</v>
      </c>
      <c r="C6" s="2">
        <f>B6*(1+'1_Svodka'!$B$12)</f>
        <v>1.44</v>
      </c>
      <c r="D6" s="2">
        <v>0.3</v>
      </c>
      <c r="E6" s="2">
        <v>1</v>
      </c>
      <c r="F6" s="2">
        <f t="shared" si="0"/>
        <v>0.3</v>
      </c>
      <c r="G6" s="3">
        <v>120</v>
      </c>
      <c r="H6" s="4" t="s">
        <v>109</v>
      </c>
      <c r="I6" s="4" t="s">
        <v>113</v>
      </c>
    </row>
    <row r="7" spans="1:9" x14ac:dyDescent="0.25">
      <c r="A7" s="4" t="s">
        <v>93</v>
      </c>
      <c r="B7" s="2">
        <v>1.2</v>
      </c>
      <c r="C7" s="2">
        <f>B7*(1+'1_Svodka'!$B$12)</f>
        <v>1.44</v>
      </c>
      <c r="D7" s="2">
        <v>0.3</v>
      </c>
      <c r="E7" s="2">
        <v>1</v>
      </c>
      <c r="F7" s="2">
        <f t="shared" si="0"/>
        <v>0.3</v>
      </c>
      <c r="G7" s="3">
        <v>120</v>
      </c>
      <c r="H7" s="4" t="s">
        <v>109</v>
      </c>
      <c r="I7" s="4" t="s">
        <v>113</v>
      </c>
    </row>
    <row r="8" spans="1:9" ht="30" x14ac:dyDescent="0.25">
      <c r="A8" s="4" t="s">
        <v>94</v>
      </c>
      <c r="B8" s="2">
        <v>1</v>
      </c>
      <c r="C8" s="2">
        <f>B8*(1+'1_Svodka'!$B$12)</f>
        <v>1.2</v>
      </c>
      <c r="D8" s="2">
        <v>0.3</v>
      </c>
      <c r="E8" s="2">
        <v>1</v>
      </c>
      <c r="F8" s="2">
        <f t="shared" si="0"/>
        <v>0.3</v>
      </c>
      <c r="G8" s="3">
        <v>120</v>
      </c>
      <c r="H8" s="4" t="s">
        <v>109</v>
      </c>
      <c r="I8" s="4" t="s">
        <v>113</v>
      </c>
    </row>
    <row r="9" spans="1:9" x14ac:dyDescent="0.25">
      <c r="A9" s="4" t="s">
        <v>95</v>
      </c>
      <c r="B9" s="2">
        <v>0.7</v>
      </c>
      <c r="C9" s="2">
        <f>B9*(1+'1_Svodka'!$B$12)</f>
        <v>0.84</v>
      </c>
      <c r="D9" s="2">
        <v>0.3</v>
      </c>
      <c r="E9" s="2">
        <v>1</v>
      </c>
      <c r="F9" s="2">
        <f t="shared" si="0"/>
        <v>0.3</v>
      </c>
      <c r="G9" s="3">
        <v>250</v>
      </c>
      <c r="H9" s="4" t="s">
        <v>109</v>
      </c>
      <c r="I9" s="4" t="s">
        <v>114</v>
      </c>
    </row>
    <row r="10" spans="1:9" x14ac:dyDescent="0.25">
      <c r="A10" s="4" t="s">
        <v>96</v>
      </c>
      <c r="B10" s="2">
        <v>0.3</v>
      </c>
      <c r="C10" s="2">
        <f>B10*(1+'1_Svodka'!$B$12)</f>
        <v>0.36</v>
      </c>
      <c r="D10" s="2">
        <v>0.15</v>
      </c>
      <c r="E10" s="2">
        <v>1</v>
      </c>
      <c r="F10" s="2">
        <f t="shared" si="0"/>
        <v>0.15</v>
      </c>
      <c r="G10" s="3">
        <v>25</v>
      </c>
      <c r="H10" s="4" t="s">
        <v>109</v>
      </c>
      <c r="I10" s="4" t="s">
        <v>110</v>
      </c>
    </row>
    <row r="11" spans="1:9" x14ac:dyDescent="0.25">
      <c r="A11" s="4" t="s">
        <v>97</v>
      </c>
      <c r="B11" s="2">
        <v>0.4</v>
      </c>
      <c r="C11" s="2">
        <f>B11*(1+'1_Svodka'!$B$12)</f>
        <v>0.48</v>
      </c>
      <c r="D11" s="2">
        <v>0.2</v>
      </c>
      <c r="E11" s="2">
        <v>1</v>
      </c>
      <c r="F11" s="2">
        <f t="shared" si="0"/>
        <v>0.2</v>
      </c>
      <c r="G11" s="3">
        <v>50</v>
      </c>
      <c r="H11" s="4" t="s">
        <v>109</v>
      </c>
      <c r="I11" s="4" t="s">
        <v>111</v>
      </c>
    </row>
    <row r="12" spans="1:9" ht="30" x14ac:dyDescent="0.25">
      <c r="A12" s="4" t="s">
        <v>98</v>
      </c>
      <c r="B12" s="2">
        <v>0.5</v>
      </c>
      <c r="C12" s="2">
        <f>B12*(1+'1_Svodka'!$B$12)</f>
        <v>0.6</v>
      </c>
      <c r="D12" s="2">
        <v>0.3</v>
      </c>
      <c r="E12" s="2">
        <f>IF('1_Svodka'!$B$15="Свободный доступ (2 головы на место)",2,1)</f>
        <v>1</v>
      </c>
      <c r="F12" s="2">
        <f t="shared" si="0"/>
        <v>0.3</v>
      </c>
      <c r="G12" s="3">
        <v>250</v>
      </c>
      <c r="H12" s="4" t="s">
        <v>115</v>
      </c>
      <c r="I12" s="4" t="s">
        <v>116</v>
      </c>
    </row>
    <row r="13" spans="1:9" ht="30" x14ac:dyDescent="0.25">
      <c r="A13" s="4" t="s">
        <v>99</v>
      </c>
      <c r="B13" s="2">
        <v>0.4</v>
      </c>
      <c r="C13" s="2">
        <f>B13*(1+'1_Svodka'!$B$12)</f>
        <v>0.48</v>
      </c>
      <c r="D13" s="2">
        <v>0.25</v>
      </c>
      <c r="E13" s="2">
        <f>IF('1_Svodka'!$B$15="Свободный доступ (2 головы на место)",2,1)</f>
        <v>1</v>
      </c>
      <c r="F13" s="2">
        <f t="shared" si="0"/>
        <v>0.25</v>
      </c>
      <c r="G13" s="3">
        <v>250</v>
      </c>
      <c r="H13" s="4" t="s">
        <v>115</v>
      </c>
      <c r="I13" s="4" t="s">
        <v>116</v>
      </c>
    </row>
    <row r="14" spans="1:9" ht="30" x14ac:dyDescent="0.25">
      <c r="A14" s="4" t="s">
        <v>100</v>
      </c>
      <c r="B14" s="2">
        <v>0.5</v>
      </c>
      <c r="C14" s="2">
        <f>B14*(1+'1_Svodka'!$B$12)</f>
        <v>0.6</v>
      </c>
      <c r="D14" s="2">
        <v>0.3</v>
      </c>
      <c r="E14" s="2">
        <v>1</v>
      </c>
      <c r="F14" s="2">
        <f t="shared" si="0"/>
        <v>0.3</v>
      </c>
      <c r="G14" s="3">
        <v>250</v>
      </c>
      <c r="H14" s="4" t="s">
        <v>117</v>
      </c>
      <c r="I14" s="4" t="s">
        <v>118</v>
      </c>
    </row>
    <row r="17" spans="1:9" x14ac:dyDescent="0.25">
      <c r="A17" s="38" t="s">
        <v>119</v>
      </c>
      <c r="B17" s="38"/>
      <c r="C17" s="38"/>
      <c r="D17" s="38"/>
      <c r="E17" s="38"/>
      <c r="F17" s="38"/>
      <c r="G17" s="38"/>
      <c r="H17" s="38"/>
      <c r="I17" s="38"/>
    </row>
    <row r="18" spans="1:9" ht="90" x14ac:dyDescent="0.25">
      <c r="A18" s="6" t="s">
        <v>120</v>
      </c>
      <c r="B18" s="4" t="s">
        <v>121</v>
      </c>
    </row>
    <row r="19" spans="1:9" ht="60" x14ac:dyDescent="0.25">
      <c r="A19" s="6" t="s">
        <v>122</v>
      </c>
      <c r="B19" s="4" t="s">
        <v>123</v>
      </c>
    </row>
    <row r="20" spans="1:9" ht="60" x14ac:dyDescent="0.25">
      <c r="A20" s="6" t="s">
        <v>124</v>
      </c>
      <c r="B20" s="4" t="s">
        <v>125</v>
      </c>
    </row>
    <row r="21" spans="1:9" ht="75" x14ac:dyDescent="0.25">
      <c r="A21" s="6" t="s">
        <v>126</v>
      </c>
      <c r="B21" s="4" t="s">
        <v>127</v>
      </c>
    </row>
    <row r="22" spans="1:9" ht="105" x14ac:dyDescent="0.25">
      <c r="A22" s="6" t="s">
        <v>128</v>
      </c>
      <c r="B22" s="4" t="s">
        <v>129</v>
      </c>
    </row>
    <row r="23" spans="1:9" ht="75" x14ac:dyDescent="0.25">
      <c r="A23" s="6" t="s">
        <v>130</v>
      </c>
      <c r="B23" s="4" t="s">
        <v>131</v>
      </c>
    </row>
    <row r="24" spans="1:9" ht="135" x14ac:dyDescent="0.25">
      <c r="A24" s="6" t="s">
        <v>132</v>
      </c>
      <c r="B24" s="4" t="s">
        <v>133</v>
      </c>
    </row>
    <row r="26" spans="1:9" x14ac:dyDescent="0.25">
      <c r="A26" s="39" t="s">
        <v>134</v>
      </c>
      <c r="B26" s="39"/>
      <c r="C26" s="39"/>
      <c r="D26" s="39"/>
      <c r="E26" s="39"/>
      <c r="F26" s="39"/>
      <c r="G26" s="39"/>
      <c r="H26" s="39"/>
      <c r="I26" s="39"/>
    </row>
    <row r="27" spans="1:9" x14ac:dyDescent="0.25">
      <c r="A27" s="40" t="s">
        <v>135</v>
      </c>
      <c r="B27" s="40"/>
      <c r="C27" s="40"/>
      <c r="D27" s="40"/>
      <c r="E27" s="40"/>
      <c r="F27" s="40"/>
      <c r="G27" s="40"/>
      <c r="H27" s="40"/>
      <c r="I27" s="40"/>
    </row>
    <row r="28" spans="1:9" x14ac:dyDescent="0.25">
      <c r="A28" s="40"/>
      <c r="B28" s="40"/>
      <c r="C28" s="40"/>
      <c r="D28" s="40"/>
      <c r="E28" s="40"/>
      <c r="F28" s="40"/>
      <c r="G28" s="40"/>
      <c r="H28" s="40"/>
      <c r="I28" s="40"/>
    </row>
    <row r="29" spans="1:9" x14ac:dyDescent="0.25">
      <c r="A29" s="40"/>
      <c r="B29" s="40"/>
      <c r="C29" s="40"/>
      <c r="D29" s="40"/>
      <c r="E29" s="40"/>
      <c r="F29" s="40"/>
      <c r="G29" s="40"/>
      <c r="H29" s="40"/>
      <c r="I29" s="40"/>
    </row>
    <row r="30" spans="1:9" x14ac:dyDescent="0.25">
      <c r="A30" t="s">
        <v>136</v>
      </c>
    </row>
    <row r="31" spans="1:9" x14ac:dyDescent="0.25">
      <c r="A31" s="26" t="s">
        <v>137</v>
      </c>
    </row>
    <row r="33" spans="1:1" ht="75" x14ac:dyDescent="0.25">
      <c r="A33" s="27" t="s">
        <v>138</v>
      </c>
    </row>
  </sheetData>
  <mergeCells count="3">
    <mergeCell ref="A17:I17"/>
    <mergeCell ref="A26:I26"/>
    <mergeCell ref="A27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1_Svodka</vt:lpstr>
      <vt:lpstr>2_Komponovka</vt:lpstr>
      <vt:lpstr>3_Normativy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Meln</dc:creator>
  <cp:lastModifiedBy>Ser Meln</cp:lastModifiedBy>
  <dcterms:created xsi:type="dcterms:W3CDTF">2026-09-07T14:17:16Z</dcterms:created>
  <dcterms:modified xsi:type="dcterms:W3CDTF">2026-09-14T15:05:31Z</dcterms:modified>
</cp:coreProperties>
</file>